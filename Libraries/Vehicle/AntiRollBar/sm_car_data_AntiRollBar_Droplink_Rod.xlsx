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AntiRollBar\"/>
    </mc:Choice>
  </mc:AlternateContent>
  <xr:revisionPtr revIDLastSave="0" documentId="13_ncr:1_{BD8EEEAE-AAA0-421C-A0A3-AF35A37F4DFC}" xr6:coauthVersionLast="47" xr6:coauthVersionMax="47" xr10:uidLastSave="{00000000-0000-0000-0000-000000000000}"/>
  <bookViews>
    <workbookView xWindow="3075" yWindow="1995" windowWidth="21600" windowHeight="11295" tabRatio="979" firstSheet="5" activeTab="10" xr2:uid="{3FA59F9D-D9D3-4E28-B3CE-9BFC80E89258}"/>
  </bookViews>
  <sheets>
    <sheet name="Achilles_BC_f" sheetId="11" r:id="rId1"/>
    <sheet name="Achilles_BC_r" sheetId="12" r:id="rId2"/>
    <sheet name="AchillesPush_BC_f" sheetId="14" r:id="rId3"/>
    <sheet name="AchillesPush_BC_r" sheetId="15" r:id="rId4"/>
    <sheet name="Achilles_LA_f" sheetId="26" r:id="rId5"/>
    <sheet name="Achilles_LA_r" sheetId="27" r:id="rId6"/>
    <sheet name="Sedan_Hamba_LA_f" sheetId="20" r:id="rId7"/>
    <sheet name="Sedan_Hamba_LA_r" sheetId="21" r:id="rId8"/>
    <sheet name="Sedan_HambaLG_Upr_f" sheetId="13" r:id="rId9"/>
    <sheet name="Sedan_HambaLG_Dam_f" sheetId="29" r:id="rId10"/>
    <sheet name="Sedan_Hamba_Dam_f" sheetId="31" r:id="rId11"/>
    <sheet name="Sedan_HambaLG_5LUpr_r" sheetId="30" r:id="rId12"/>
    <sheet name="Sedan_Hamba_5LUpr_r" sheetId="32" r:id="rId13"/>
    <sheet name="Sedan_HambaLG_LA_f" sheetId="22" r:id="rId14"/>
    <sheet name="Sedan_HambaLG_LA_r" sheetId="23" r:id="rId15"/>
    <sheet name="Sedan_Hamba_mc_f" sheetId="16" r:id="rId16"/>
    <sheet name="Sedan_HambaLG_mc_f" sheetId="19" r:id="rId17"/>
    <sheet name="SUV_Landy_LA_f" sheetId="28" r:id="rId18"/>
    <sheet name="Bus_Makhulu_mc_f" sheetId="18" r:id="rId19"/>
    <sheet name="Bus_Makhulu_LA_f" sheetId="24" r:id="rId20"/>
    <sheet name="Bus_Makhulu_LA_r" sheetId="2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28" l="1"/>
  <c r="G7" i="28"/>
  <c r="G6" i="28"/>
  <c r="G5" i="28"/>
  <c r="F6" i="16"/>
  <c r="F5" i="16"/>
</calcChain>
</file>

<file path=xl/sharedStrings.xml><?xml version="1.0" encoding="utf-8"?>
<sst xmlns="http://schemas.openxmlformats.org/spreadsheetml/2006/main" count="691" uniqueCount="50">
  <si>
    <t>Units</t>
  </si>
  <si>
    <t>Comments</t>
  </si>
  <si>
    <t>x</t>
  </si>
  <si>
    <t>y</t>
  </si>
  <si>
    <t>z or scalar</t>
  </si>
  <si>
    <t>Type</t>
  </si>
  <si>
    <t>Instance</t>
  </si>
  <si>
    <t>class</t>
  </si>
  <si>
    <t>AntiRollBar</t>
  </si>
  <si>
    <t>k</t>
  </si>
  <si>
    <t>sOutboard</t>
  </si>
  <si>
    <t>m</t>
  </si>
  <si>
    <t>sInboard</t>
  </si>
  <si>
    <t>kg</t>
  </si>
  <si>
    <t>sSuspension</t>
  </si>
  <si>
    <t>pi*(D^4-d^4)*G/32</t>
  </si>
  <si>
    <t>DroplinkRod</t>
  </si>
  <si>
    <t>Must be same as Linkage.Bellcrank.sAntiRollBar</t>
  </si>
  <si>
    <t>Must be same as Linkage.Upright.sARB for attachment to Upright</t>
  </si>
  <si>
    <t>Rigid_1Rev</t>
  </si>
  <si>
    <t>SubframeConnection</t>
  </si>
  <si>
    <t>sMount</t>
  </si>
  <si>
    <t>d</t>
  </si>
  <si>
    <t>N*m/deg</t>
  </si>
  <si>
    <t>N*m/(deg/s)</t>
  </si>
  <si>
    <t>qUniversal</t>
  </si>
  <si>
    <t>deg</t>
  </si>
  <si>
    <t>DroplinkRod_Sedan_Hamba_mc_f</t>
  </si>
  <si>
    <t>Droplink_Bus_Makhulu_mc_f</t>
  </si>
  <si>
    <t>DroplinkRod_Sedan_HambaLG_mc_f</t>
  </si>
  <si>
    <t>DroplinkRod_Sedan_Hamba_LA_f</t>
  </si>
  <si>
    <t>DroplinkRod_Sedan_Hamba_LA_r</t>
  </si>
  <si>
    <t>DroplinkRod_Sedan_HambaLG_Upr_f</t>
  </si>
  <si>
    <t>DroplinkRod_Sedan_HambaLG_LA_f</t>
  </si>
  <si>
    <t>DroplinkRod_Sedan_HambaLG_LA_r</t>
  </si>
  <si>
    <t>DroplinkRod_FSAE_Achilles_BC_f</t>
  </si>
  <si>
    <t>DroplinkRod_FSAE_Achilles_BC_r</t>
  </si>
  <si>
    <t>DroplinkRod_FSAE_AchillesPush_BC_f</t>
  </si>
  <si>
    <t>DroplinkRod_FSAE_AchillesPush_BC_r</t>
  </si>
  <si>
    <t>DroplinkRod_FSAE_Achilles_LA_f</t>
  </si>
  <si>
    <t>Must be same as AntiRollBar.sSuspension for attachment to LowerArm</t>
  </si>
  <si>
    <t>DroplinkRod_FSAE_Achilles_LA_r</t>
  </si>
  <si>
    <t>DroplinkRod_Bus_Makhulu_LA_f</t>
  </si>
  <si>
    <t>DroplinkRod_Bus_Makhulu_LA_r</t>
  </si>
  <si>
    <t>DroplinkRod_SUV_Landy_LA_f</t>
  </si>
  <si>
    <t>DroplinkRod_Sedan_HambaLG_Dam_f</t>
  </si>
  <si>
    <t>Must be same as Linkage.Shock.sARB for attachment to Damper</t>
  </si>
  <si>
    <t>DroplinkRod_Sedan_HambaLG_5LUpr_r</t>
  </si>
  <si>
    <t>DroplinkRod_Sedan_Hamba_Dam_f</t>
  </si>
  <si>
    <t>DroplinkRod_Sedan_Hamba_5LUpr_r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</si>
</sst>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5" borderId="0" xfId="0" applyFill="1"/>
    <xf numFmtId="164" fontId="2" fillId="0" borderId="0" xfId="0" applyNumberFormat="1" applyFont="1"/>
    <xf numFmtId="2" fontId="2" fillId="5" borderId="0" xfId="0" applyNumberFormat="1" applyFont="1" applyFill="1"/>
    <xf numFmtId="0" fontId="0" fillId="5" borderId="0" xfId="0" applyFill="1" applyAlignment="1">
      <alignment horizontal="left"/>
    </xf>
    <xf numFmtId="164" fontId="2" fillId="5" borderId="0" xfId="0" applyNumberFormat="1" applyFont="1" applyFill="1"/>
  </cellXfs>
  <cellStyles count="1">
    <cellStyle name="Normal" xfId="0" builtinId="0"/>
  </cellStyles>
  <dxfs count="6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0F62-2B55-4F78-AC62-40A65F8E4750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3" sqref="H3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35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17</v>
      </c>
      <c r="F5" s="17">
        <v>-1.43E-2</v>
      </c>
      <c r="G5" s="17">
        <v>0.16591</v>
      </c>
      <c r="H5" s="17">
        <v>7.3800000000000004E-2</v>
      </c>
      <c r="J5" s="15" t="s">
        <v>17</v>
      </c>
    </row>
    <row r="6" spans="1:10" x14ac:dyDescent="0.25">
      <c r="A6" s="4" t="s">
        <v>10</v>
      </c>
      <c r="B6" s="5"/>
      <c r="C6" s="5"/>
      <c r="D6" t="s">
        <v>11</v>
      </c>
      <c r="F6" s="6">
        <v>0.14255000000000001</v>
      </c>
      <c r="G6" s="6">
        <v>0.16200000000000001</v>
      </c>
      <c r="H6" s="6">
        <v>6.8529999999999994E-2</v>
      </c>
    </row>
    <row r="7" spans="1:10" x14ac:dyDescent="0.25">
      <c r="A7" s="4" t="s">
        <v>12</v>
      </c>
      <c r="B7" s="5"/>
      <c r="C7" s="5"/>
      <c r="D7" t="s">
        <v>11</v>
      </c>
      <c r="F7" s="6">
        <v>0.126</v>
      </c>
      <c r="G7" s="6">
        <v>0.1595</v>
      </c>
      <c r="H7" s="6">
        <v>0.12307</v>
      </c>
    </row>
    <row r="8" spans="1:10" x14ac:dyDescent="0.25">
      <c r="A8" s="4" t="s">
        <v>21</v>
      </c>
      <c r="B8" s="5"/>
      <c r="C8" s="5"/>
      <c r="D8" t="s">
        <v>11</v>
      </c>
      <c r="F8" s="6">
        <v>0.126</v>
      </c>
      <c r="G8" s="6">
        <v>0.08</v>
      </c>
      <c r="H8" s="6">
        <v>0.12307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90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62" priority="1" operator="equal">
      <formula>"class"</formula>
    </cfRule>
  </conditionalFormatting>
  <conditionalFormatting sqref="A18:A19">
    <cfRule type="cellIs" dxfId="61" priority="2" operator="equal">
      <formula>"class"</formula>
    </cfRule>
  </conditionalFormatting>
  <conditionalFormatting sqref="A4:B4 A14:B17">
    <cfRule type="cellIs" dxfId="60" priority="4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0A6E-B81F-4CD0-A781-6F76E6708E49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36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17</v>
      </c>
      <c r="F5" s="17">
        <v>5.8860000000000003E-2</v>
      </c>
      <c r="G5" s="17">
        <v>0.2467</v>
      </c>
      <c r="H5" s="17">
        <v>0.12791</v>
      </c>
      <c r="J5" s="15" t="s">
        <v>17</v>
      </c>
    </row>
    <row r="6" spans="1:10" x14ac:dyDescent="0.25">
      <c r="A6" s="4" t="s">
        <v>10</v>
      </c>
      <c r="B6" s="5"/>
      <c r="C6" s="5"/>
      <c r="D6" t="s">
        <v>11</v>
      </c>
      <c r="F6" s="6">
        <v>0.12486999999999999</v>
      </c>
      <c r="G6" s="6">
        <v>0.218</v>
      </c>
      <c r="H6" s="6">
        <v>0.12956000000000001</v>
      </c>
    </row>
    <row r="7" spans="1:10" x14ac:dyDescent="0.25">
      <c r="A7" s="4" t="s">
        <v>12</v>
      </c>
      <c r="B7" s="5"/>
      <c r="C7" s="5"/>
      <c r="D7" t="s">
        <v>11</v>
      </c>
      <c r="F7" s="6">
        <v>0.11799</v>
      </c>
      <c r="G7" s="6">
        <v>0.21687000000000001</v>
      </c>
      <c r="H7" s="6">
        <v>8.3070000000000005E-2</v>
      </c>
    </row>
    <row r="8" spans="1:10" x14ac:dyDescent="0.25">
      <c r="A8" s="4" t="s">
        <v>21</v>
      </c>
      <c r="B8" s="5"/>
      <c r="C8" s="5"/>
      <c r="D8" t="s">
        <v>11</v>
      </c>
      <c r="F8" s="6">
        <v>0.11799</v>
      </c>
      <c r="G8" s="6">
        <v>0.11</v>
      </c>
      <c r="H8" s="6">
        <v>8.3070000000000005E-2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90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76.72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7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59" priority="1" operator="equal">
      <formula>"class"</formula>
    </cfRule>
  </conditionalFormatting>
  <conditionalFormatting sqref="A18:A19">
    <cfRule type="cellIs" dxfId="58" priority="2" operator="equal">
      <formula>"class"</formula>
    </cfRule>
  </conditionalFormatting>
  <conditionalFormatting sqref="A4:B4 A14:B17">
    <cfRule type="cellIs" dxfId="57" priority="4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D887-E7A0-487D-86FB-DC620D02358D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37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18" t="s">
        <v>14</v>
      </c>
      <c r="B5" s="5"/>
      <c r="C5" s="5"/>
      <c r="D5" t="s">
        <v>11</v>
      </c>
      <c r="E5" t="s">
        <v>17</v>
      </c>
      <c r="F5" s="17">
        <v>-1.43E-2</v>
      </c>
      <c r="G5" s="17">
        <v>0.16591</v>
      </c>
      <c r="H5" s="17">
        <v>0.35</v>
      </c>
      <c r="J5" s="15" t="s">
        <v>17</v>
      </c>
    </row>
    <row r="6" spans="1:10" x14ac:dyDescent="0.25">
      <c r="A6" s="4" t="s">
        <v>10</v>
      </c>
      <c r="B6" s="5"/>
      <c r="C6" s="5"/>
      <c r="D6" t="s">
        <v>11</v>
      </c>
      <c r="F6" s="6">
        <v>0.14255000000000001</v>
      </c>
      <c r="G6" s="6">
        <v>0.16200000000000001</v>
      </c>
      <c r="H6" s="6">
        <v>0.34</v>
      </c>
    </row>
    <row r="7" spans="1:10" x14ac:dyDescent="0.25">
      <c r="A7" s="4" t="s">
        <v>12</v>
      </c>
      <c r="B7" s="5"/>
      <c r="C7" s="5"/>
      <c r="D7" t="s">
        <v>11</v>
      </c>
      <c r="F7" s="6">
        <v>0.126</v>
      </c>
      <c r="G7" s="6">
        <v>0.1595</v>
      </c>
      <c r="H7" s="6">
        <v>0.28000000000000003</v>
      </c>
    </row>
    <row r="8" spans="1:10" x14ac:dyDescent="0.25">
      <c r="A8" s="4" t="s">
        <v>21</v>
      </c>
      <c r="B8" s="5"/>
      <c r="C8" s="5"/>
      <c r="D8" t="s">
        <v>11</v>
      </c>
      <c r="F8" s="6">
        <v>0.126</v>
      </c>
      <c r="G8" s="6">
        <v>0.08</v>
      </c>
      <c r="H8" s="6">
        <v>0.28000000000000003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90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56" priority="1" operator="equal">
      <formula>"class"</formula>
    </cfRule>
  </conditionalFormatting>
  <conditionalFormatting sqref="A18:A19">
    <cfRule type="cellIs" dxfId="55" priority="2" operator="equal">
      <formula>"class"</formula>
    </cfRule>
  </conditionalFormatting>
  <conditionalFormatting sqref="A4:B4 A14:B17">
    <cfRule type="cellIs" dxfId="54" priority="3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A96F-7423-4105-8BE0-6AD45D89FBE0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4" sqref="H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38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18" t="s">
        <v>14</v>
      </c>
      <c r="B5" s="5"/>
      <c r="C5" s="5"/>
      <c r="D5" t="s">
        <v>11</v>
      </c>
      <c r="E5" t="s">
        <v>17</v>
      </c>
      <c r="F5" s="17">
        <v>-5.3100000000000001E-2</v>
      </c>
      <c r="G5" s="17">
        <v>0.2467</v>
      </c>
      <c r="H5" s="17">
        <v>0.35</v>
      </c>
      <c r="J5" s="15" t="s">
        <v>17</v>
      </c>
    </row>
    <row r="6" spans="1:10" x14ac:dyDescent="0.25">
      <c r="A6" s="4" t="s">
        <v>10</v>
      </c>
      <c r="B6" s="5"/>
      <c r="C6" s="5"/>
      <c r="D6" t="s">
        <v>11</v>
      </c>
      <c r="F6" s="6">
        <v>-0.1191</v>
      </c>
      <c r="G6" s="6">
        <v>0.218</v>
      </c>
      <c r="H6" s="6">
        <v>0.34</v>
      </c>
    </row>
    <row r="7" spans="1:10" x14ac:dyDescent="0.25">
      <c r="A7" s="4" t="s">
        <v>12</v>
      </c>
      <c r="B7" s="5"/>
      <c r="C7" s="5"/>
      <c r="D7" t="s">
        <v>11</v>
      </c>
      <c r="F7" s="6">
        <v>-0.11219999999999999</v>
      </c>
      <c r="G7" s="6">
        <v>0.21687000000000001</v>
      </c>
      <c r="H7" s="6">
        <v>0.4</v>
      </c>
    </row>
    <row r="8" spans="1:10" x14ac:dyDescent="0.25">
      <c r="A8" s="4" t="s">
        <v>21</v>
      </c>
      <c r="B8" s="5"/>
      <c r="C8" s="5"/>
      <c r="D8" t="s">
        <v>11</v>
      </c>
      <c r="F8" s="6">
        <v>-0.11219999999999999</v>
      </c>
      <c r="G8" s="6">
        <v>0.11</v>
      </c>
      <c r="H8" s="6">
        <v>0.4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90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76.72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7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53" priority="1" operator="equal">
      <formula>"class"</formula>
    </cfRule>
  </conditionalFormatting>
  <conditionalFormatting sqref="A18:A19">
    <cfRule type="cellIs" dxfId="52" priority="2" operator="equal">
      <formula>"class"</formula>
    </cfRule>
  </conditionalFormatting>
  <conditionalFormatting sqref="A4:B4 A14:B17">
    <cfRule type="cellIs" dxfId="51" priority="3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A124-F565-4460-B318-D9684908DA67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5" sqref="H5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39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17</v>
      </c>
      <c r="F5" s="17">
        <v>0.06</v>
      </c>
      <c r="G5" s="17">
        <v>0.25</v>
      </c>
      <c r="H5" s="17">
        <v>0.13</v>
      </c>
      <c r="J5" s="15" t="s">
        <v>40</v>
      </c>
    </row>
    <row r="6" spans="1:10" x14ac:dyDescent="0.25">
      <c r="A6" s="4" t="s">
        <v>10</v>
      </c>
      <c r="B6" s="5"/>
      <c r="C6" s="5"/>
      <c r="D6" t="s">
        <v>11</v>
      </c>
      <c r="F6" s="6">
        <v>0.06</v>
      </c>
      <c r="G6" s="6">
        <v>0.25</v>
      </c>
      <c r="H6" s="6">
        <v>0.08</v>
      </c>
    </row>
    <row r="7" spans="1:10" x14ac:dyDescent="0.25">
      <c r="A7" s="4" t="s">
        <v>12</v>
      </c>
      <c r="B7" s="5"/>
      <c r="C7" s="5"/>
      <c r="D7" t="s">
        <v>11</v>
      </c>
      <c r="F7" s="6">
        <v>-0.02</v>
      </c>
      <c r="G7" s="6">
        <v>0.24</v>
      </c>
      <c r="H7" s="6">
        <v>0.08</v>
      </c>
    </row>
    <row r="8" spans="1:10" x14ac:dyDescent="0.25">
      <c r="A8" s="4" t="s">
        <v>21</v>
      </c>
      <c r="B8" s="5"/>
      <c r="C8" s="5"/>
      <c r="D8" t="s">
        <v>11</v>
      </c>
      <c r="F8" s="6">
        <v>-0.02</v>
      </c>
      <c r="G8" s="6">
        <v>0.12</v>
      </c>
      <c r="H8" s="6">
        <v>0.08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50" priority="1" operator="equal">
      <formula>"class"</formula>
    </cfRule>
  </conditionalFormatting>
  <conditionalFormatting sqref="A18:A19">
    <cfRule type="cellIs" dxfId="49" priority="2" operator="equal">
      <formula>"class"</formula>
    </cfRule>
  </conditionalFormatting>
  <conditionalFormatting sqref="A4:B4 A14:B17">
    <cfRule type="cellIs" dxfId="48" priority="3" operator="equal">
      <formula>"class"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E897-ED0B-47FD-8FC4-BA7192505084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5" sqref="F5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44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41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17</v>
      </c>
      <c r="F5" s="17">
        <v>3.5999999999999997E-2</v>
      </c>
      <c r="G5" s="17">
        <v>0.218</v>
      </c>
      <c r="H5" s="17">
        <v>0.18</v>
      </c>
      <c r="J5" s="15" t="s">
        <v>40</v>
      </c>
    </row>
    <row r="6" spans="1:10" x14ac:dyDescent="0.25">
      <c r="A6" s="4" t="s">
        <v>10</v>
      </c>
      <c r="B6" s="5"/>
      <c r="C6" s="5"/>
      <c r="D6" t="s">
        <v>11</v>
      </c>
      <c r="F6" s="6">
        <v>3.5999999999999997E-2</v>
      </c>
      <c r="G6" s="6">
        <v>0.218</v>
      </c>
      <c r="H6" s="6">
        <v>0.12956000000000001</v>
      </c>
    </row>
    <row r="7" spans="1:10" x14ac:dyDescent="0.25">
      <c r="A7" s="4" t="s">
        <v>12</v>
      </c>
      <c r="B7" s="5"/>
      <c r="C7" s="5"/>
      <c r="D7" t="s">
        <v>11</v>
      </c>
      <c r="F7" s="6">
        <v>0.08</v>
      </c>
      <c r="G7" s="6">
        <v>0.21687000000000001</v>
      </c>
      <c r="H7" s="6">
        <v>0.12956000000000001</v>
      </c>
    </row>
    <row r="8" spans="1:10" x14ac:dyDescent="0.25">
      <c r="A8" s="4" t="s">
        <v>21</v>
      </c>
      <c r="B8" s="5"/>
      <c r="C8" s="5"/>
      <c r="D8" t="s">
        <v>11</v>
      </c>
      <c r="F8" s="6">
        <v>0.08</v>
      </c>
      <c r="G8" s="6">
        <v>0.12</v>
      </c>
      <c r="H8" s="6">
        <v>0.12956000000000001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0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76.72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7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47" priority="1" operator="equal">
      <formula>"class"</formula>
    </cfRule>
  </conditionalFormatting>
  <conditionalFormatting sqref="A18:A19">
    <cfRule type="cellIs" dxfId="46" priority="2" operator="equal">
      <formula>"class"</formula>
    </cfRule>
  </conditionalFormatting>
  <conditionalFormatting sqref="A4:B4 A14:B17">
    <cfRule type="cellIs" dxfId="45" priority="3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6DD6-1829-45FD-8E76-4086E799D8EA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6" sqref="F6:H8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30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0.6</v>
      </c>
      <c r="H5" s="17">
        <v>0.15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v>0.6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v>0.57999999999999996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5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44" priority="1" operator="equal">
      <formula>"class"</formula>
    </cfRule>
  </conditionalFormatting>
  <conditionalFormatting sqref="A18:A19">
    <cfRule type="cellIs" dxfId="43" priority="2" operator="equal">
      <formula>"class"</formula>
    </cfRule>
  </conditionalFormatting>
  <conditionalFormatting sqref="A4:B4 A14:B17">
    <cfRule type="cellIs" dxfId="42" priority="3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E858-4DCC-4942-8F0C-41A4756A4273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E20" sqref="E20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31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0.05</v>
      </c>
      <c r="G5" s="17">
        <v>0.6</v>
      </c>
      <c r="H5" s="17">
        <v>0.15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0.05</v>
      </c>
      <c r="G6" s="6">
        <v>0.6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0.3</v>
      </c>
      <c r="G7" s="6">
        <v>0.57999999999999996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50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5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41" priority="1" operator="equal">
      <formula>"class"</formula>
    </cfRule>
  </conditionalFormatting>
  <conditionalFormatting sqref="A18:A19">
    <cfRule type="cellIs" dxfId="40" priority="2" operator="equal">
      <formula>"class"</formula>
    </cfRule>
  </conditionalFormatting>
  <conditionalFormatting sqref="A4:B4 A14:B17">
    <cfRule type="cellIs" dxfId="39" priority="3" operator="equal">
      <formula>"class"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222B-A6FF-4987-9A69-80746FC9498C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3" sqref="H3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32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0.8</v>
      </c>
      <c r="H5" s="17">
        <v>0.52500000000000002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-4.4999999999999998E-2</v>
      </c>
      <c r="G6" s="6">
        <v>0.8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0.28999999999999998</v>
      </c>
      <c r="G7" s="6">
        <v>0.75</v>
      </c>
      <c r="H7" s="6">
        <v>0.24</v>
      </c>
    </row>
    <row r="8" spans="1:11" x14ac:dyDescent="0.25">
      <c r="A8" s="4" t="s">
        <v>21</v>
      </c>
      <c r="B8" s="5"/>
      <c r="C8" s="5"/>
      <c r="D8" t="s">
        <v>11</v>
      </c>
      <c r="F8" s="6">
        <v>0.28999999999999998</v>
      </c>
      <c r="G8" s="6">
        <v>0.25</v>
      </c>
      <c r="H8" s="6">
        <v>0.24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38" priority="1" operator="equal">
      <formula>"class"</formula>
    </cfRule>
  </conditionalFormatting>
  <conditionalFormatting sqref="A18:A19">
    <cfRule type="cellIs" dxfId="37" priority="2" operator="equal">
      <formula>"class"</formula>
    </cfRule>
  </conditionalFormatting>
  <conditionalFormatting sqref="A4:B4 A14:B17">
    <cfRule type="cellIs" dxfId="36" priority="3" operator="equal">
      <formula>"class"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A56E-3643-4F98-B87D-6185CF3C2DB8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E21" sqref="E21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45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0.7</v>
      </c>
      <c r="H5" s="17">
        <v>0.45</v>
      </c>
      <c r="J5" s="15" t="s">
        <v>46</v>
      </c>
    </row>
    <row r="6" spans="1:11" x14ac:dyDescent="0.25">
      <c r="A6" s="4" t="s">
        <v>10</v>
      </c>
      <c r="B6" s="5"/>
      <c r="C6" s="5"/>
      <c r="D6" t="s">
        <v>11</v>
      </c>
      <c r="F6" s="6">
        <v>-4.4999999999999998E-2</v>
      </c>
      <c r="G6" s="6">
        <v>0.65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0.28999999999999998</v>
      </c>
      <c r="G7" s="6">
        <v>0.6</v>
      </c>
      <c r="H7" s="6">
        <v>0.24</v>
      </c>
    </row>
    <row r="8" spans="1:11" x14ac:dyDescent="0.25">
      <c r="A8" s="4" t="s">
        <v>21</v>
      </c>
      <c r="B8" s="5"/>
      <c r="C8" s="5"/>
      <c r="D8" t="s">
        <v>11</v>
      </c>
      <c r="F8" s="6">
        <v>0.28999999999999998</v>
      </c>
      <c r="G8" s="6">
        <v>0.25</v>
      </c>
      <c r="H8" s="6">
        <v>0.24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35" priority="1" operator="equal">
      <formula>"class"</formula>
    </cfRule>
  </conditionalFormatting>
  <conditionalFormatting sqref="A18:A19">
    <cfRule type="cellIs" dxfId="34" priority="2" operator="equal">
      <formula>"class"</formula>
    </cfRule>
  </conditionalFormatting>
  <conditionalFormatting sqref="A4:B4 A14:B17">
    <cfRule type="cellIs" dxfId="33" priority="3" operator="equal">
      <formula>"class"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D4A8-4C23-47B5-BC9C-6BE964C65540}">
  <sheetPr>
    <tabColor rgb="FFFF9999"/>
  </sheetPr>
  <dimension ref="A1:K19"/>
  <sheetViews>
    <sheetView tabSelected="1"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14" sqref="J14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48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0.65</v>
      </c>
      <c r="H5" s="17">
        <v>0.4</v>
      </c>
      <c r="J5" s="15" t="s">
        <v>46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v>0.6</v>
      </c>
      <c r="H6" s="6">
        <v>0.16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v>0.57999999999999996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32" priority="1" operator="equal">
      <formula>"class"</formula>
    </cfRule>
  </conditionalFormatting>
  <conditionalFormatting sqref="A18:A19">
    <cfRule type="cellIs" dxfId="31" priority="2" operator="equal">
      <formula>"class"</formula>
    </cfRule>
  </conditionalFormatting>
  <conditionalFormatting sqref="A4:B4 A14:B17">
    <cfRule type="cellIs" dxfId="30" priority="3" operator="equal">
      <formula>"class"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AFC1-B7BB-4F5B-A87F-0B427B238C07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10" sqref="J10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47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0.8</v>
      </c>
      <c r="H5" s="17">
        <v>0.3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-4.4999999999999998E-2</v>
      </c>
      <c r="G6" s="6">
        <v>0.8</v>
      </c>
      <c r="H6" s="6">
        <v>0.45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0.28999999999999998</v>
      </c>
      <c r="G7" s="6">
        <v>0.75</v>
      </c>
      <c r="H7" s="6">
        <v>0.44</v>
      </c>
    </row>
    <row r="8" spans="1:11" x14ac:dyDescent="0.25">
      <c r="A8" s="4" t="s">
        <v>21</v>
      </c>
      <c r="B8" s="5"/>
      <c r="C8" s="5"/>
      <c r="D8" t="s">
        <v>11</v>
      </c>
      <c r="F8" s="6">
        <v>0.28999999999999998</v>
      </c>
      <c r="G8" s="6">
        <v>0.25</v>
      </c>
      <c r="H8" s="6">
        <v>0.44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29" priority="1" operator="equal">
      <formula>"class"</formula>
    </cfRule>
  </conditionalFormatting>
  <conditionalFormatting sqref="A18:A19">
    <cfRule type="cellIs" dxfId="28" priority="2" operator="equal">
      <formula>"class"</formula>
    </cfRule>
  </conditionalFormatting>
  <conditionalFormatting sqref="A4:B4 A14:B17">
    <cfRule type="cellIs" dxfId="27" priority="3" operator="equal">
      <formula>"class"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3370-21EF-4414-8111-013B40774A8E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H19" sqref="H1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49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0.05</v>
      </c>
      <c r="G5" s="17">
        <v>0.6</v>
      </c>
      <c r="H5" s="17">
        <v>0.2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0.05</v>
      </c>
      <c r="G6" s="6">
        <v>0.6</v>
      </c>
      <c r="H6" s="6">
        <v>0.3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0.3</v>
      </c>
      <c r="G7" s="6">
        <v>0.57999999999999996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26" priority="1" operator="equal">
      <formula>"class"</formula>
    </cfRule>
  </conditionalFormatting>
  <conditionalFormatting sqref="A18:A19">
    <cfRule type="cellIs" dxfId="25" priority="2" operator="equal">
      <formula>"class"</formula>
    </cfRule>
  </conditionalFormatting>
  <conditionalFormatting sqref="A4:B4 A14:B17">
    <cfRule type="cellIs" dxfId="24" priority="3" operator="equal">
      <formula>"class"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BDE5-313F-45A5-9CED-972E63B9DB16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5" sqref="F5:H5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33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0.75</v>
      </c>
      <c r="H5" s="17">
        <v>0.15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v>0.75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v>0.73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23" priority="1" operator="equal">
      <formula>"class"</formula>
    </cfRule>
  </conditionalFormatting>
  <conditionalFormatting sqref="A18:A19">
    <cfRule type="cellIs" dxfId="22" priority="2" operator="equal">
      <formula>"class"</formula>
    </cfRule>
  </conditionalFormatting>
  <conditionalFormatting sqref="A4:B4 A14:B17">
    <cfRule type="cellIs" dxfId="21" priority="3" operator="equal">
      <formula>"class"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3A62-A942-4A81-A495-B0418FFB493E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5" sqref="F5:H5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34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0.05</v>
      </c>
      <c r="G5" s="17">
        <v>0.75</v>
      </c>
      <c r="H5" s="17">
        <v>0.15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0.05</v>
      </c>
      <c r="G6" s="6">
        <v>0.75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0.3</v>
      </c>
      <c r="G7" s="6">
        <v>0.73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0.3</v>
      </c>
      <c r="G8" s="6">
        <v>0.35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40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4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20" priority="1" operator="equal">
      <formula>"class"</formula>
    </cfRule>
  </conditionalFormatting>
  <conditionalFormatting sqref="A18:A19">
    <cfRule type="cellIs" dxfId="19" priority="2" operator="equal">
      <formula>"class"</formula>
    </cfRule>
  </conditionalFormatting>
  <conditionalFormatting sqref="A4:B4 A14:B17">
    <cfRule type="cellIs" dxfId="18" priority="3" operator="equal">
      <formula>"class"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01B2-9A7D-48E6-BC19-DD76F7D1310A}">
  <sheetPr>
    <tabColor rgb="FFFF9999"/>
  </sheetPr>
  <dimension ref="A1:J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29" sqref="J2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27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18</v>
      </c>
      <c r="F5" s="17">
        <f>-0.000217+0.05</f>
        <v>4.9783000000000001E-2</v>
      </c>
      <c r="G5" s="17">
        <v>0.66</v>
      </c>
      <c r="H5" s="17">
        <v>0.42</v>
      </c>
      <c r="J5" s="15" t="s">
        <v>18</v>
      </c>
    </row>
    <row r="6" spans="1:10" x14ac:dyDescent="0.25">
      <c r="A6" s="4" t="s">
        <v>10</v>
      </c>
      <c r="B6" s="5"/>
      <c r="C6" s="5"/>
      <c r="D6" t="s">
        <v>11</v>
      </c>
      <c r="F6" s="6">
        <f>-0.000217+0.05</f>
        <v>4.9783000000000001E-2</v>
      </c>
      <c r="G6" s="6">
        <v>0.6</v>
      </c>
      <c r="H6" s="6">
        <v>0.17</v>
      </c>
    </row>
    <row r="7" spans="1:10" x14ac:dyDescent="0.25">
      <c r="A7" s="4" t="s">
        <v>12</v>
      </c>
      <c r="B7" s="5"/>
      <c r="C7" s="5"/>
      <c r="D7" t="s">
        <v>11</v>
      </c>
      <c r="F7" s="6">
        <v>-0.2</v>
      </c>
      <c r="G7" s="6">
        <v>0.57999999999999996</v>
      </c>
      <c r="H7" s="6">
        <v>0.15</v>
      </c>
    </row>
    <row r="8" spans="1:10" x14ac:dyDescent="0.25">
      <c r="A8" s="4" t="s">
        <v>21</v>
      </c>
      <c r="B8" s="5"/>
      <c r="C8" s="5"/>
      <c r="D8" t="s">
        <v>11</v>
      </c>
      <c r="F8" s="6">
        <v>-0.2</v>
      </c>
      <c r="G8" s="6">
        <v>0.35</v>
      </c>
      <c r="H8" s="6">
        <v>0.15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0" x14ac:dyDescent="0.25">
      <c r="A10" s="4" t="s">
        <v>9</v>
      </c>
      <c r="B10" s="5"/>
      <c r="C10" s="5"/>
      <c r="D10" t="s">
        <v>23</v>
      </c>
      <c r="F10" s="6"/>
      <c r="G10" s="6"/>
      <c r="H10" s="6">
        <v>30</v>
      </c>
    </row>
    <row r="11" spans="1:10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0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17" priority="1" operator="equal">
      <formula>"class"</formula>
    </cfRule>
  </conditionalFormatting>
  <conditionalFormatting sqref="A18:A19">
    <cfRule type="cellIs" dxfId="16" priority="2" operator="equal">
      <formula>"class"</formula>
    </cfRule>
  </conditionalFormatting>
  <conditionalFormatting sqref="A4:B4 A14:B17">
    <cfRule type="cellIs" dxfId="15" priority="3" operator="equal">
      <formula>"class"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FE28-D7F9-41FC-974A-1C4F83B08D60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8" sqref="F8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29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9">
        <v>0.03</v>
      </c>
      <c r="G5" s="17">
        <v>0.85</v>
      </c>
      <c r="H5" s="17">
        <v>0.48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16">
        <v>0.04</v>
      </c>
      <c r="G6" s="6">
        <v>0.85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0.28999999999999998</v>
      </c>
      <c r="G7" s="6">
        <v>0.8</v>
      </c>
      <c r="H7" s="6">
        <v>0.24</v>
      </c>
    </row>
    <row r="8" spans="1:11" x14ac:dyDescent="0.25">
      <c r="A8" s="4" t="s">
        <v>21</v>
      </c>
      <c r="B8" s="5"/>
      <c r="C8" s="5"/>
      <c r="D8" t="s">
        <v>11</v>
      </c>
      <c r="F8" s="6">
        <v>0.28999999999999998</v>
      </c>
      <c r="G8" s="6">
        <v>0.25</v>
      </c>
      <c r="H8" s="6">
        <v>0.24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30.96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14" priority="1" operator="equal">
      <formula>"class"</formula>
    </cfRule>
  </conditionalFormatting>
  <conditionalFormatting sqref="A18:A19">
    <cfRule type="cellIs" dxfId="13" priority="2" operator="equal">
      <formula>"class"</formula>
    </cfRule>
  </conditionalFormatting>
  <conditionalFormatting sqref="A4:B4 A14:B17">
    <cfRule type="cellIs" dxfId="12" priority="3" operator="equal">
      <formula>"class"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466F-9DF6-4F89-9922-96B5502AE619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9" sqref="J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44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f>0.75-0.25</f>
        <v>0.5</v>
      </c>
      <c r="H5" s="17">
        <v>0.15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f>0.75-0.25</f>
        <v>0.5</v>
      </c>
      <c r="H6" s="6">
        <v>0.25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f>0.73-0.25</f>
        <v>0.48</v>
      </c>
      <c r="H7" s="6">
        <v>0.15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f>0.35-0.125</f>
        <v>0.22499999999999998</v>
      </c>
      <c r="H8" s="6">
        <v>0.15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30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3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11" priority="1" operator="equal">
      <formula>"class"</formula>
    </cfRule>
  </conditionalFormatting>
  <conditionalFormatting sqref="A18:A19">
    <cfRule type="cellIs" dxfId="10" priority="2" operator="equal">
      <formula>"class"</formula>
    </cfRule>
  </conditionalFormatting>
  <conditionalFormatting sqref="A4:B4 A14:B17">
    <cfRule type="cellIs" dxfId="9" priority="3" operator="equal">
      <formula>"class"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04C2-89CE-489F-9A9D-C784A2BF3C11}">
  <sheetPr>
    <tabColor rgb="FFFF9999"/>
  </sheetPr>
  <dimension ref="A1:J19"/>
  <sheetViews>
    <sheetView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 activeCell="J29" sqref="J2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0" x14ac:dyDescent="0.25">
      <c r="A3" s="4" t="s">
        <v>6</v>
      </c>
      <c r="B3" s="5"/>
      <c r="C3" s="5"/>
      <c r="F3" s="6"/>
      <c r="G3" s="6"/>
      <c r="H3" s="7" t="s">
        <v>28</v>
      </c>
    </row>
    <row r="4" spans="1:10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0" x14ac:dyDescent="0.25">
      <c r="A5" s="4" t="s">
        <v>14</v>
      </c>
      <c r="B5" s="5"/>
      <c r="C5" s="5"/>
      <c r="D5" t="s">
        <v>11</v>
      </c>
      <c r="E5" t="s">
        <v>18</v>
      </c>
      <c r="F5" s="17">
        <v>0.05</v>
      </c>
      <c r="G5" s="17">
        <v>0.66</v>
      </c>
      <c r="H5" s="17">
        <v>0.55000000000000004</v>
      </c>
      <c r="J5" s="15" t="s">
        <v>18</v>
      </c>
    </row>
    <row r="6" spans="1:10" x14ac:dyDescent="0.25">
      <c r="A6" s="11" t="s">
        <v>10</v>
      </c>
      <c r="D6" t="s">
        <v>11</v>
      </c>
      <c r="F6" s="6">
        <v>-0.05</v>
      </c>
      <c r="G6" s="6">
        <v>0.66</v>
      </c>
      <c r="H6" s="6">
        <v>0.3</v>
      </c>
    </row>
    <row r="7" spans="1:10" x14ac:dyDescent="0.25">
      <c r="A7" s="11" t="s">
        <v>12</v>
      </c>
      <c r="D7" t="s">
        <v>11</v>
      </c>
      <c r="F7" s="6">
        <v>-0.3</v>
      </c>
      <c r="G7" s="6">
        <v>0.66</v>
      </c>
      <c r="H7" s="6">
        <v>0.3</v>
      </c>
    </row>
    <row r="8" spans="1:10" x14ac:dyDescent="0.25">
      <c r="A8" s="11" t="s">
        <v>21</v>
      </c>
      <c r="D8" t="s">
        <v>11</v>
      </c>
      <c r="F8" s="6">
        <v>-0.3</v>
      </c>
      <c r="G8" s="6">
        <v>0.35</v>
      </c>
      <c r="H8" s="6">
        <v>0.3</v>
      </c>
    </row>
    <row r="9" spans="1:10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0" x14ac:dyDescent="0.25">
      <c r="A10" s="11" t="s">
        <v>9</v>
      </c>
      <c r="D10" t="s">
        <v>23</v>
      </c>
      <c r="F10" s="6"/>
      <c r="G10" s="6"/>
      <c r="H10" s="6">
        <v>50</v>
      </c>
    </row>
    <row r="11" spans="1:10" x14ac:dyDescent="0.25">
      <c r="A11" s="11" t="s">
        <v>22</v>
      </c>
      <c r="D11" t="s">
        <v>24</v>
      </c>
      <c r="F11" s="6"/>
      <c r="G11" s="6"/>
      <c r="H11" s="6">
        <v>5</v>
      </c>
    </row>
    <row r="12" spans="1:10" x14ac:dyDescent="0.25">
      <c r="A12" s="11" t="s">
        <v>11</v>
      </c>
      <c r="D12" t="s">
        <v>13</v>
      </c>
      <c r="F12" s="6"/>
      <c r="G12" s="6"/>
      <c r="H12" s="6">
        <v>20</v>
      </c>
    </row>
    <row r="13" spans="1:10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0" x14ac:dyDescent="0.25">
      <c r="B14" s="11"/>
      <c r="F14" s="6"/>
      <c r="G14" s="6"/>
      <c r="H14" s="6"/>
    </row>
    <row r="15" spans="1:10" x14ac:dyDescent="0.25">
      <c r="B15" s="11"/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8" priority="1" operator="equal">
      <formula>"class"</formula>
    </cfRule>
  </conditionalFormatting>
  <conditionalFormatting sqref="A18:A19">
    <cfRule type="cellIs" dxfId="7" priority="2" operator="equal">
      <formula>"class"</formula>
    </cfRule>
  </conditionalFormatting>
  <conditionalFormatting sqref="A4:B4 A14:B17">
    <cfRule type="cellIs" dxfId="6" priority="3" operator="equal">
      <formula>"class"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82D2-24ED-4760-8CA2-0BB90F67F0A4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J30" sqref="J30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42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0.6</v>
      </c>
      <c r="H5" s="17">
        <v>0.25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v>0.6</v>
      </c>
      <c r="H6" s="6">
        <v>0.4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v>0.57999999999999996</v>
      </c>
      <c r="H7" s="6">
        <v>0.3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v>0.35</v>
      </c>
      <c r="H8" s="6">
        <v>0.3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50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5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5" priority="1" operator="equal">
      <formula>"class"</formula>
    </cfRule>
  </conditionalFormatting>
  <conditionalFormatting sqref="A18:A19">
    <cfRule type="cellIs" dxfId="4" priority="2" operator="equal">
      <formula>"class"</formula>
    </cfRule>
  </conditionalFormatting>
  <conditionalFormatting sqref="A4:B4 A14:B17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1048-629F-482E-AE7F-1FD418E93CB2}">
  <sheetPr>
    <tabColor rgb="FFFF9999"/>
  </sheetPr>
  <dimension ref="A1:K19"/>
  <sheetViews>
    <sheetView workbookViewId="0">
      <pane xSplit="3" ySplit="1" topLeftCell="D2" activePane="bottomRight" state="frozen"/>
      <selection activeCell="J29" sqref="J29"/>
      <selection pane="topRight" activeCell="J29" sqref="J29"/>
      <selection pane="bottomLeft" activeCell="J29" sqref="J29"/>
      <selection pane="bottomRight" activeCell="F32" sqref="F32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59.42578125" bestFit="1" customWidth="1"/>
    <col min="11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1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1" x14ac:dyDescent="0.25">
      <c r="A2" s="4" t="s">
        <v>5</v>
      </c>
      <c r="B2" s="5"/>
      <c r="C2" s="5"/>
      <c r="E2" s="6"/>
      <c r="F2" s="6"/>
      <c r="G2" s="6"/>
      <c r="H2" s="7" t="s">
        <v>8</v>
      </c>
    </row>
    <row r="3" spans="1:11" x14ac:dyDescent="0.25">
      <c r="A3" s="4" t="s">
        <v>6</v>
      </c>
      <c r="B3" s="5"/>
      <c r="C3" s="5"/>
      <c r="F3" s="6"/>
      <c r="G3" s="6"/>
      <c r="H3" s="7" t="s">
        <v>43</v>
      </c>
    </row>
    <row r="4" spans="1:11" x14ac:dyDescent="0.25">
      <c r="A4" s="4" t="s">
        <v>7</v>
      </c>
      <c r="B4" s="8"/>
      <c r="C4" s="8"/>
      <c r="D4" s="8"/>
      <c r="E4" s="8"/>
      <c r="F4" s="9"/>
      <c r="G4" s="9"/>
      <c r="H4" s="10" t="s">
        <v>16</v>
      </c>
    </row>
    <row r="5" spans="1:11" x14ac:dyDescent="0.25">
      <c r="A5" s="4" t="s">
        <v>14</v>
      </c>
      <c r="B5" s="5"/>
      <c r="C5" s="5"/>
      <c r="D5" t="s">
        <v>11</v>
      </c>
      <c r="E5" t="s">
        <v>18</v>
      </c>
      <c r="F5" s="17">
        <v>-0.05</v>
      </c>
      <c r="G5" s="17">
        <v>0.5</v>
      </c>
      <c r="H5" s="17">
        <v>0.25</v>
      </c>
      <c r="J5" s="15" t="s">
        <v>18</v>
      </c>
    </row>
    <row r="6" spans="1:11" x14ac:dyDescent="0.25">
      <c r="A6" s="4" t="s">
        <v>10</v>
      </c>
      <c r="B6" s="5"/>
      <c r="C6" s="5"/>
      <c r="D6" t="s">
        <v>11</v>
      </c>
      <c r="F6" s="6">
        <v>-0.05</v>
      </c>
      <c r="G6" s="6">
        <v>0.5</v>
      </c>
      <c r="H6" s="6">
        <v>0.4</v>
      </c>
      <c r="K6" s="6"/>
    </row>
    <row r="7" spans="1:11" x14ac:dyDescent="0.25">
      <c r="A7" s="4" t="s">
        <v>12</v>
      </c>
      <c r="B7" s="5"/>
      <c r="C7" s="5"/>
      <c r="D7" t="s">
        <v>11</v>
      </c>
      <c r="F7" s="6">
        <v>-0.3</v>
      </c>
      <c r="G7" s="6">
        <v>0.48</v>
      </c>
      <c r="H7" s="6">
        <v>0.3</v>
      </c>
    </row>
    <row r="8" spans="1:11" x14ac:dyDescent="0.25">
      <c r="A8" s="4" t="s">
        <v>21</v>
      </c>
      <c r="B8" s="5"/>
      <c r="C8" s="5"/>
      <c r="D8" t="s">
        <v>11</v>
      </c>
      <c r="F8" s="6">
        <v>-0.3</v>
      </c>
      <c r="G8" s="6">
        <v>0.24</v>
      </c>
      <c r="H8" s="6">
        <v>0.3</v>
      </c>
    </row>
    <row r="9" spans="1:11" x14ac:dyDescent="0.25">
      <c r="A9" s="4" t="s">
        <v>25</v>
      </c>
      <c r="B9" s="5"/>
      <c r="C9" s="5"/>
      <c r="D9" t="s">
        <v>26</v>
      </c>
      <c r="F9" s="6"/>
      <c r="G9" s="6"/>
      <c r="H9" s="6">
        <v>0</v>
      </c>
    </row>
    <row r="10" spans="1:11" x14ac:dyDescent="0.25">
      <c r="A10" s="4" t="s">
        <v>9</v>
      </c>
      <c r="B10" s="5"/>
      <c r="C10" s="5"/>
      <c r="D10" t="s">
        <v>23</v>
      </c>
      <c r="E10" t="s">
        <v>15</v>
      </c>
      <c r="F10" s="6"/>
      <c r="G10" s="6"/>
      <c r="H10" s="6">
        <v>50</v>
      </c>
    </row>
    <row r="11" spans="1:11" x14ac:dyDescent="0.25">
      <c r="A11" s="4" t="s">
        <v>22</v>
      </c>
      <c r="B11" s="5"/>
      <c r="C11" s="5"/>
      <c r="D11" t="s">
        <v>24</v>
      </c>
      <c r="F11" s="6"/>
      <c r="G11" s="6"/>
      <c r="H11" s="6">
        <v>5</v>
      </c>
    </row>
    <row r="12" spans="1:11" x14ac:dyDescent="0.25">
      <c r="A12" s="4" t="s">
        <v>11</v>
      </c>
      <c r="B12" s="5"/>
      <c r="C12" s="5"/>
      <c r="D12" t="s">
        <v>13</v>
      </c>
      <c r="F12" s="6"/>
      <c r="G12" s="6"/>
      <c r="H12" s="6">
        <v>20</v>
      </c>
    </row>
    <row r="13" spans="1:11" x14ac:dyDescent="0.25">
      <c r="A13" s="4" t="s">
        <v>20</v>
      </c>
      <c r="B13" s="13" t="s">
        <v>7</v>
      </c>
      <c r="C13" s="8"/>
      <c r="D13" s="8"/>
      <c r="E13" s="8"/>
      <c r="F13" s="8"/>
      <c r="G13" s="8"/>
      <c r="H13" s="14" t="s">
        <v>19</v>
      </c>
    </row>
    <row r="14" spans="1:11" x14ac:dyDescent="0.25">
      <c r="B14" s="11"/>
      <c r="F14" s="6"/>
      <c r="G14" s="6"/>
      <c r="H14" s="6"/>
    </row>
    <row r="15" spans="1:11" x14ac:dyDescent="0.25">
      <c r="B15" s="11"/>
      <c r="F15" s="6"/>
      <c r="G15" s="6"/>
      <c r="H15" s="6"/>
    </row>
    <row r="16" spans="1:11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3">
    <cfRule type="cellIs" dxfId="2" priority="1" operator="equal">
      <formula>"class"</formula>
    </cfRule>
  </conditionalFormatting>
  <conditionalFormatting sqref="A18:A19">
    <cfRule type="cellIs" dxfId="1" priority="2" operator="equal">
      <formula>"class"</formula>
    </cfRule>
  </conditionalFormatting>
  <conditionalFormatting sqref="A4:B4 A14:B17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Achilles_BC_f</vt:lpstr>
      <vt:lpstr>Achilles_BC_r</vt:lpstr>
      <vt:lpstr>AchillesPush_BC_f</vt:lpstr>
      <vt:lpstr>AchillesPush_BC_r</vt:lpstr>
      <vt:lpstr>Achilles_LA_f</vt:lpstr>
      <vt:lpstr>Achilles_LA_r</vt:lpstr>
      <vt:lpstr>Sedan_Hamba_LA_f</vt:lpstr>
      <vt:lpstr>Sedan_Hamba_LA_r</vt:lpstr>
      <vt:lpstr>Sedan_HambaLG_Upr_f</vt:lpstr>
      <vt:lpstr>Sedan_HambaLG_Dam_f</vt:lpstr>
      <vt:lpstr>Sedan_Hamba_Dam_f</vt:lpstr>
      <vt:lpstr>Sedan_HambaLG_5LUpr_r</vt:lpstr>
      <vt:lpstr>Sedan_Hamba_5LUpr_r</vt:lpstr>
      <vt:lpstr>Sedan_HambaLG_LA_f</vt:lpstr>
      <vt:lpstr>Sedan_HambaLG_LA_r</vt:lpstr>
      <vt:lpstr>Sedan_Hamba_mc_f</vt:lpstr>
      <vt:lpstr>Sedan_HambaLG_mc_f</vt:lpstr>
      <vt:lpstr>SUV_Landy_LA_f</vt:lpstr>
      <vt:lpstr>Bus_Makhulu_mc_f</vt:lpstr>
      <vt:lpstr>Bus_Makhulu_LA_f</vt:lpstr>
      <vt:lpstr>Bus_Makhulu_LA_r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2026-01-17T13:58:04Z</dcterms:modified>
</cp:coreProperties>
</file>