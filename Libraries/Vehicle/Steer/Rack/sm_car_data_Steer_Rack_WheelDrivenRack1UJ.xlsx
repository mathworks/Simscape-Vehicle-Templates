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ABE73030-0923-4C45-8384-40C68F4761C7}" xr6:coauthVersionLast="47" xr6:coauthVersionMax="47" xr10:uidLastSave="{00000000-0000-0000-0000-000000000000}"/>
  <bookViews>
    <workbookView xWindow="270" yWindow="1230" windowWidth="21600" windowHeight="13230" activeTab="1" xr2:uid="{E5F5FC43-B986-4E29-966F-C8C2FD1E0A42}"/>
  </bookViews>
  <sheets>
    <sheet name="WDrivenRack_1UJ_Achilles" sheetId="2" r:id="rId1"/>
    <sheet name="WDrivenRack_1UJ_Ch2_Achil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H24" i="3"/>
  <c r="H26" i="3"/>
  <c r="H20" i="3" s="1"/>
  <c r="H21" i="3" s="1"/>
  <c r="H27" i="3"/>
  <c r="H18" i="2"/>
  <c r="H24" i="2"/>
  <c r="H26" i="2"/>
  <c r="J20" i="2" s="1"/>
  <c r="H27" i="2"/>
  <c r="AB20" i="3" l="1"/>
  <c r="AB21" i="3" s="1"/>
  <c r="J21" i="2"/>
  <c r="AB20" i="2"/>
  <c r="AB21" i="2" s="1"/>
  <c r="I20" i="2"/>
  <c r="I21" i="2" s="1"/>
  <c r="H20" i="2"/>
  <c r="H21" i="2" s="1"/>
  <c r="Z20" i="3"/>
  <c r="Z21" i="3" s="1"/>
  <c r="X20" i="3"/>
  <c r="X21" i="3" s="1"/>
  <c r="W20" i="2"/>
  <c r="W21" i="2" s="1"/>
  <c r="T20" i="3"/>
  <c r="T21" i="3" s="1"/>
  <c r="U20" i="2"/>
  <c r="U21" i="2" s="1"/>
  <c r="L20" i="3"/>
  <c r="L21" i="3" s="1"/>
  <c r="M20" i="2"/>
  <c r="M21" i="2" s="1"/>
  <c r="K20" i="3"/>
  <c r="K21" i="3" s="1"/>
  <c r="L20" i="2"/>
  <c r="L21" i="2" s="1"/>
  <c r="J20" i="3"/>
  <c r="J21" i="3" s="1"/>
  <c r="AA20" i="3"/>
  <c r="AA21" i="3" s="1"/>
  <c r="AA20" i="2"/>
  <c r="AA21" i="2" s="1"/>
  <c r="Y20" i="3"/>
  <c r="Y21" i="3" s="1"/>
  <c r="Z20" i="2"/>
  <c r="Z21" i="2" s="1"/>
  <c r="Y20" i="2"/>
  <c r="Y21" i="2" s="1"/>
  <c r="W20" i="3"/>
  <c r="W21" i="3" s="1"/>
  <c r="X20" i="2"/>
  <c r="X21" i="2" s="1"/>
  <c r="V20" i="3"/>
  <c r="V21" i="3" s="1"/>
  <c r="U20" i="3"/>
  <c r="U21" i="3" s="1"/>
  <c r="V20" i="2"/>
  <c r="V21" i="2" s="1"/>
  <c r="S20" i="3"/>
  <c r="S21" i="3" s="1"/>
  <c r="T20" i="2"/>
  <c r="T21" i="2" s="1"/>
  <c r="R20" i="3"/>
  <c r="R21" i="3" s="1"/>
  <c r="S20" i="2"/>
  <c r="S21" i="2" s="1"/>
  <c r="Q20" i="3"/>
  <c r="Q21" i="3" s="1"/>
  <c r="R20" i="2"/>
  <c r="R21" i="2" s="1"/>
  <c r="P20" i="3"/>
  <c r="P21" i="3" s="1"/>
  <c r="Q20" i="2"/>
  <c r="Q21" i="2" s="1"/>
  <c r="O20" i="3"/>
  <c r="O21" i="3" s="1"/>
  <c r="P20" i="2"/>
  <c r="P21" i="2" s="1"/>
  <c r="N20" i="3"/>
  <c r="N21" i="3" s="1"/>
  <c r="O20" i="2"/>
  <c r="O21" i="2" s="1"/>
  <c r="M20" i="3"/>
  <c r="M21" i="3" s="1"/>
  <c r="N20" i="2"/>
  <c r="N21" i="2" s="1"/>
  <c r="K20" i="2"/>
  <c r="K21" i="2" s="1"/>
  <c r="I20" i="3"/>
  <c r="I21" i="3" s="1"/>
</calcChain>
</file>

<file path=xl/sharedStrings.xml><?xml version="1.0" encoding="utf-8"?>
<sst xmlns="http://schemas.openxmlformats.org/spreadsheetml/2006/main" count="122" uniqueCount="41">
  <si>
    <t>It is included here so that this variant can be used with the test harness.</t>
  </si>
  <si>
    <t>In this variant, the lookup table is not used in the model.</t>
  </si>
  <si>
    <t>ratio</t>
  </si>
  <si>
    <t>Rack Displacement - reference only</t>
  </si>
  <si>
    <t>m</t>
  </si>
  <si>
    <t>xRack</t>
  </si>
  <si>
    <t>Wheel Angle - reference only</t>
  </si>
  <si>
    <t>rad</t>
  </si>
  <si>
    <t>aWheel</t>
  </si>
  <si>
    <t>Ratio Table</t>
  </si>
  <si>
    <t>kg</t>
  </si>
  <si>
    <t>xRad</t>
  </si>
  <si>
    <t>sMount</t>
  </si>
  <si>
    <t>Pinion</t>
  </si>
  <si>
    <t>Shaft Lower</t>
  </si>
  <si>
    <t>xLength</t>
  </si>
  <si>
    <t>Shaft Upper</t>
  </si>
  <si>
    <t>FSAE</t>
  </si>
  <si>
    <t>class</t>
  </si>
  <si>
    <t>Mass</t>
  </si>
  <si>
    <t>aAxis</t>
  </si>
  <si>
    <t>Wheel</t>
  </si>
  <si>
    <t>Hz</t>
  </si>
  <si>
    <t>fActuatorCutoff</t>
  </si>
  <si>
    <t>Must  be consistent with linkage trackrod inboard point</t>
  </si>
  <si>
    <t>sOutboard</t>
  </si>
  <si>
    <t>HPRack</t>
  </si>
  <si>
    <t>Rack</t>
  </si>
  <si>
    <t>WheelDrivenRack1UJoint</t>
  </si>
  <si>
    <t>WheelDrivenRack1UJoint_Achilles</t>
  </si>
  <si>
    <t>Instance</t>
  </si>
  <si>
    <t>Steer</t>
  </si>
  <si>
    <t>Type</t>
  </si>
  <si>
    <t>z or scalar</t>
  </si>
  <si>
    <t>y</t>
  </si>
  <si>
    <t>x</t>
  </si>
  <si>
    <t>Comments</t>
  </si>
  <si>
    <t>Units</t>
  </si>
  <si>
    <t>WheelDrivenRack1UJoint_Ch2_Achilles</t>
  </si>
  <si>
    <t>d</t>
  </si>
  <si>
    <t>N/(m/s)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</si>
</sst>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2" borderId="0" xfId="1" applyFill="1"/>
    <xf numFmtId="2" fontId="2" fillId="2" borderId="0" xfId="1" applyNumberFormat="1" applyFont="1" applyFill="1"/>
    <xf numFmtId="0" fontId="1" fillId="0" borderId="0" xfId="1" applyAlignment="1">
      <alignment horizontal="right"/>
    </xf>
    <xf numFmtId="2" fontId="2" fillId="0" borderId="0" xfId="1" applyNumberFormat="1" applyFont="1"/>
    <xf numFmtId="0" fontId="2" fillId="0" borderId="0" xfId="1" applyFont="1"/>
    <xf numFmtId="164" fontId="2" fillId="0" borderId="0" xfId="1" applyNumberFormat="1" applyFont="1"/>
    <xf numFmtId="0" fontId="2" fillId="2" borderId="0" xfId="1" applyFont="1" applyFill="1"/>
    <xf numFmtId="0" fontId="1" fillId="3" borderId="0" xfId="1" applyFill="1"/>
    <xf numFmtId="0" fontId="1" fillId="3" borderId="0" xfId="1" applyFill="1" applyAlignment="1">
      <alignment horizontal="left"/>
    </xf>
    <xf numFmtId="164" fontId="2" fillId="0" borderId="0" xfId="1" applyNumberFormat="1" applyFont="1" applyAlignment="1">
      <alignment horizontal="right"/>
    </xf>
    <xf numFmtId="2" fontId="1" fillId="0" borderId="0" xfId="1" applyNumberFormat="1"/>
    <xf numFmtId="0" fontId="2" fillId="4" borderId="0" xfId="1" applyFont="1" applyFill="1"/>
    <xf numFmtId="164" fontId="1" fillId="0" borderId="0" xfId="1" applyNumberFormat="1"/>
    <xf numFmtId="1" fontId="1" fillId="0" borderId="0" xfId="1" applyNumberFormat="1"/>
    <xf numFmtId="164" fontId="2" fillId="4" borderId="0" xfId="1" applyNumberFormat="1" applyFont="1" applyFill="1"/>
    <xf numFmtId="0" fontId="2" fillId="0" borderId="0" xfId="1" applyFont="1" applyAlignment="1">
      <alignment horizontal="right"/>
    </xf>
    <xf numFmtId="0" fontId="1" fillId="5" borderId="0" xfId="1" applyFill="1"/>
    <xf numFmtId="2" fontId="2" fillId="5" borderId="0" xfId="1" applyNumberFormat="1" applyFont="1" applyFill="1"/>
    <xf numFmtId="2" fontId="2" fillId="6" borderId="0" xfId="1" applyNumberFormat="1" applyFont="1" applyFill="1" applyAlignment="1">
      <alignment horizontal="right"/>
    </xf>
    <xf numFmtId="2" fontId="2" fillId="6" borderId="0" xfId="1" applyNumberFormat="1" applyFont="1" applyFill="1"/>
    <xf numFmtId="0" fontId="1" fillId="6" borderId="0" xfId="1" applyFill="1"/>
    <xf numFmtId="2" fontId="2" fillId="0" borderId="0" xfId="1" applyNumberFormat="1" applyFont="1" applyAlignment="1">
      <alignment horizontal="right"/>
    </xf>
    <xf numFmtId="0" fontId="3" fillId="7" borderId="0" xfId="1" applyFont="1" applyFill="1" applyAlignment="1">
      <alignment horizontal="center"/>
    </xf>
    <xf numFmtId="0" fontId="1" fillId="7" borderId="0" xfId="1" applyFill="1"/>
    <xf numFmtId="0" fontId="3" fillId="7" borderId="0" xfId="1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applyFont="1"/>
  </cellXfs>
  <cellStyles count="2">
    <cellStyle name="Normal" xfId="0" builtinId="0"/>
    <cellStyle name="Normal 2" xfId="1" xr:uid="{07716AD1-3E1E-463C-8691-28D31A0398FC}"/>
  </cellStyles>
  <dxfs count="1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5E61-1CD1-4C13-BDB5-946CFFFE4E5F}">
  <sheetPr>
    <tabColor rgb="FFFF9999"/>
  </sheetPr>
  <dimension ref="A1:AB32"/>
  <sheetViews>
    <sheetView workbookViewId="0">
      <pane xSplit="3" ySplit="1" topLeftCell="D2" activePane="bottomRight" state="frozen"/>
      <selection activeCell="Z11" sqref="Z11"/>
      <selection pane="topRight" activeCell="Z11" sqref="Z11"/>
      <selection pane="bottomLeft" activeCell="Z11" sqref="Z11"/>
      <selection pane="bottomRight" activeCell="A8" sqref="A8:XFD8"/>
    </sheetView>
  </sheetViews>
  <sheetFormatPr defaultRowHeight="15" x14ac:dyDescent="0.25"/>
  <cols>
    <col min="1" max="1" width="14.42578125" style="2" customWidth="1"/>
    <col min="2" max="2" width="12.7109375" style="1" customWidth="1"/>
    <col min="3" max="5" width="11.140625" style="1" customWidth="1"/>
    <col min="6" max="8" width="10" style="1" customWidth="1"/>
    <col min="9" max="28" width="7.28515625" style="1" customWidth="1"/>
    <col min="29" max="16384" width="9.140625" style="1"/>
  </cols>
  <sheetData>
    <row r="1" spans="1:28" x14ac:dyDescent="0.25">
      <c r="A1" s="27"/>
      <c r="B1" s="25"/>
      <c r="C1" s="26"/>
      <c r="D1" s="25" t="s">
        <v>37</v>
      </c>
      <c r="E1" s="25" t="s">
        <v>36</v>
      </c>
      <c r="F1" s="25" t="s">
        <v>35</v>
      </c>
      <c r="G1" s="25" t="s">
        <v>34</v>
      </c>
      <c r="H1" s="25" t="s">
        <v>33</v>
      </c>
    </row>
    <row r="2" spans="1:28" x14ac:dyDescent="0.25">
      <c r="A2" s="11" t="s">
        <v>32</v>
      </c>
      <c r="B2" s="10"/>
      <c r="C2" s="10"/>
      <c r="E2" s="6"/>
      <c r="F2" s="6"/>
      <c r="G2" s="6"/>
      <c r="H2" s="24" t="s">
        <v>31</v>
      </c>
    </row>
    <row r="3" spans="1:28" x14ac:dyDescent="0.25">
      <c r="A3" s="11" t="s">
        <v>30</v>
      </c>
      <c r="B3" s="10"/>
      <c r="C3" s="10"/>
      <c r="F3" s="6"/>
      <c r="G3" s="6"/>
      <c r="H3" s="24" t="s">
        <v>29</v>
      </c>
    </row>
    <row r="4" spans="1:28" x14ac:dyDescent="0.25">
      <c r="A4" s="11" t="s">
        <v>18</v>
      </c>
      <c r="B4" s="23"/>
      <c r="C4" s="23"/>
      <c r="D4" s="23"/>
      <c r="E4" s="23"/>
      <c r="F4" s="22"/>
      <c r="G4" s="22"/>
      <c r="H4" s="21" t="s">
        <v>28</v>
      </c>
    </row>
    <row r="5" spans="1:28" x14ac:dyDescent="0.25">
      <c r="A5" s="11" t="s">
        <v>27</v>
      </c>
      <c r="B5" s="10" t="s">
        <v>12</v>
      </c>
      <c r="C5" s="10"/>
      <c r="D5" s="1" t="s">
        <v>4</v>
      </c>
      <c r="E5" s="1" t="s">
        <v>26</v>
      </c>
      <c r="F5" s="6">
        <v>9.0499999999999997E-2</v>
      </c>
      <c r="G5" s="7">
        <v>0</v>
      </c>
      <c r="H5" s="6">
        <v>0.11927</v>
      </c>
      <c r="L5" s="7"/>
      <c r="M5" s="7"/>
      <c r="N5" s="6"/>
      <c r="P5" s="13"/>
      <c r="Q5" s="13"/>
      <c r="R5" s="13"/>
    </row>
    <row r="6" spans="1:28" x14ac:dyDescent="0.25">
      <c r="A6" s="11"/>
      <c r="B6" s="19" t="s">
        <v>25</v>
      </c>
      <c r="C6" s="10"/>
      <c r="D6" s="1" t="s">
        <v>4</v>
      </c>
      <c r="E6" s="1" t="s">
        <v>24</v>
      </c>
      <c r="F6" s="20">
        <v>9.0499999999999997E-2</v>
      </c>
      <c r="G6" s="20">
        <v>0.17899999999999999</v>
      </c>
      <c r="H6" s="20">
        <v>0.11927</v>
      </c>
      <c r="J6" s="19" t="s">
        <v>24</v>
      </c>
    </row>
    <row r="7" spans="1:28" x14ac:dyDescent="0.25">
      <c r="A7" s="11"/>
      <c r="B7" s="10" t="s">
        <v>4</v>
      </c>
      <c r="C7" s="10"/>
      <c r="D7" s="1" t="s">
        <v>10</v>
      </c>
      <c r="E7" s="1" t="s">
        <v>19</v>
      </c>
      <c r="F7" s="7"/>
      <c r="G7" s="7"/>
      <c r="H7" s="7">
        <v>19.792000000000002</v>
      </c>
    </row>
    <row r="8" spans="1:28" customFormat="1" x14ac:dyDescent="0.25">
      <c r="A8" s="28"/>
      <c r="B8" s="29" t="s">
        <v>39</v>
      </c>
      <c r="C8" s="29"/>
      <c r="D8" t="s">
        <v>40</v>
      </c>
      <c r="F8" s="30"/>
      <c r="G8" s="30"/>
      <c r="H8" s="30">
        <v>10</v>
      </c>
    </row>
    <row r="9" spans="1:28" x14ac:dyDescent="0.25">
      <c r="A9" s="11"/>
      <c r="B9" s="10" t="s">
        <v>23</v>
      </c>
      <c r="C9" s="10"/>
      <c r="D9" s="1" t="s">
        <v>22</v>
      </c>
      <c r="F9" s="7"/>
      <c r="G9" s="7"/>
      <c r="H9" s="7">
        <v>50</v>
      </c>
    </row>
    <row r="10" spans="1:28" x14ac:dyDescent="0.25">
      <c r="A10" s="11" t="s">
        <v>21</v>
      </c>
      <c r="B10" s="10" t="s">
        <v>12</v>
      </c>
      <c r="C10" s="10"/>
      <c r="D10" s="1" t="s">
        <v>4</v>
      </c>
      <c r="F10" s="6">
        <v>-0.46200000000000002</v>
      </c>
      <c r="G10" s="6">
        <v>0</v>
      </c>
      <c r="H10" s="6">
        <v>0.48907</v>
      </c>
    </row>
    <row r="11" spans="1:28" x14ac:dyDescent="0.25">
      <c r="A11" s="11"/>
      <c r="B11" s="10" t="s">
        <v>20</v>
      </c>
      <c r="C11" s="10"/>
      <c r="D11" s="1" t="s">
        <v>7</v>
      </c>
      <c r="F11" s="7"/>
      <c r="G11" s="7"/>
      <c r="H11" s="7">
        <v>0.11558</v>
      </c>
    </row>
    <row r="12" spans="1:28" x14ac:dyDescent="0.25">
      <c r="A12" s="11"/>
      <c r="B12" s="10" t="s">
        <v>4</v>
      </c>
      <c r="C12" s="10"/>
      <c r="D12" s="1" t="s">
        <v>10</v>
      </c>
      <c r="E12" s="1" t="s">
        <v>19</v>
      </c>
      <c r="F12" s="7"/>
      <c r="G12" s="7"/>
      <c r="H12" s="14">
        <v>1</v>
      </c>
    </row>
    <row r="13" spans="1:28" x14ac:dyDescent="0.25">
      <c r="A13" s="11"/>
      <c r="B13" s="10" t="s">
        <v>18</v>
      </c>
      <c r="C13" s="10"/>
      <c r="F13" s="7"/>
      <c r="G13" s="7"/>
      <c r="H13" s="18" t="s">
        <v>17</v>
      </c>
    </row>
    <row r="14" spans="1:28" x14ac:dyDescent="0.25">
      <c r="A14" s="11" t="s">
        <v>16</v>
      </c>
      <c r="B14" s="10" t="s">
        <v>4</v>
      </c>
      <c r="C14" s="10"/>
      <c r="D14" s="1" t="s">
        <v>10</v>
      </c>
      <c r="F14" s="7"/>
      <c r="G14" s="7"/>
      <c r="H14" s="17">
        <v>0.2</v>
      </c>
      <c r="I14" s="15"/>
      <c r="J14" s="15"/>
      <c r="K14" s="15"/>
      <c r="L14" s="15"/>
      <c r="M14" s="15"/>
      <c r="N14" s="15"/>
      <c r="O14" s="15"/>
      <c r="P14" s="15"/>
      <c r="Q14" s="15"/>
      <c r="R14" s="16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25">
      <c r="A15" s="11"/>
      <c r="B15" s="10" t="s">
        <v>15</v>
      </c>
      <c r="C15" s="10"/>
      <c r="D15" s="1" t="s">
        <v>4</v>
      </c>
      <c r="F15" s="7"/>
      <c r="G15" s="7"/>
      <c r="H15" s="8">
        <v>0.17230999999999999</v>
      </c>
      <c r="I15" s="15"/>
      <c r="J15" s="15"/>
      <c r="K15" s="15"/>
      <c r="L15" s="15"/>
      <c r="M15" s="15"/>
      <c r="N15" s="15"/>
      <c r="O15" s="15"/>
      <c r="P15" s="15"/>
      <c r="Q15" s="15"/>
      <c r="R15" s="16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25">
      <c r="A16" s="11" t="s">
        <v>14</v>
      </c>
      <c r="B16" s="10" t="s">
        <v>4</v>
      </c>
      <c r="C16" s="10"/>
      <c r="D16" s="1" t="s">
        <v>10</v>
      </c>
      <c r="F16" s="7"/>
      <c r="G16" s="7"/>
      <c r="H16" s="14">
        <v>0.2</v>
      </c>
    </row>
    <row r="17" spans="1:28" x14ac:dyDescent="0.25">
      <c r="A17" s="11" t="s">
        <v>13</v>
      </c>
      <c r="B17" s="10" t="s">
        <v>12</v>
      </c>
      <c r="C17" s="10"/>
      <c r="D17" s="1" t="s">
        <v>4</v>
      </c>
      <c r="F17" s="13">
        <v>7.7869999999999995E-2</v>
      </c>
      <c r="G17" s="13">
        <v>0</v>
      </c>
      <c r="H17" s="13">
        <v>0.10644000000000001</v>
      </c>
    </row>
    <row r="18" spans="1:28" x14ac:dyDescent="0.25">
      <c r="A18" s="11"/>
      <c r="B18" s="10" t="s">
        <v>11</v>
      </c>
      <c r="C18" s="10"/>
      <c r="D18" s="1" t="s">
        <v>4</v>
      </c>
      <c r="H18" s="1">
        <f>0.01365</f>
        <v>1.3650000000000001E-2</v>
      </c>
    </row>
    <row r="19" spans="1:28" x14ac:dyDescent="0.25">
      <c r="A19" s="11"/>
      <c r="B19" s="10" t="s">
        <v>4</v>
      </c>
      <c r="C19" s="10"/>
      <c r="D19" s="1" t="s">
        <v>10</v>
      </c>
      <c r="H19" s="1">
        <v>0.05</v>
      </c>
    </row>
    <row r="20" spans="1:28" x14ac:dyDescent="0.25">
      <c r="A20" s="11" t="s">
        <v>9</v>
      </c>
      <c r="B20" s="10" t="s">
        <v>8</v>
      </c>
      <c r="C20" s="10"/>
      <c r="D20" s="1" t="s">
        <v>7</v>
      </c>
      <c r="E20" s="3" t="s">
        <v>6</v>
      </c>
      <c r="F20" s="9"/>
      <c r="G20" s="9"/>
      <c r="H20" s="12">
        <f t="shared" ref="H20:AB20" si="0">H25*$H$26</f>
        <v>-3.1415700000000002</v>
      </c>
      <c r="I20" s="12">
        <f t="shared" si="0"/>
        <v>-2.8274130000000004</v>
      </c>
      <c r="J20" s="12">
        <f t="shared" si="0"/>
        <v>-2.5132560000000002</v>
      </c>
      <c r="K20" s="12">
        <f t="shared" si="0"/>
        <v>-2.1990990000000004</v>
      </c>
      <c r="L20" s="12">
        <f t="shared" si="0"/>
        <v>-1.8849420000000003</v>
      </c>
      <c r="M20" s="12">
        <f t="shared" si="0"/>
        <v>-1.5707850000000001</v>
      </c>
      <c r="N20" s="12">
        <f t="shared" si="0"/>
        <v>-1.2566280000000001</v>
      </c>
      <c r="O20" s="12">
        <f t="shared" si="0"/>
        <v>-0.94247100000000017</v>
      </c>
      <c r="P20" s="12">
        <f t="shared" si="0"/>
        <v>-0.62831400000000004</v>
      </c>
      <c r="Q20" s="12">
        <f t="shared" si="0"/>
        <v>-0.31415700000000002</v>
      </c>
      <c r="R20" s="12">
        <f t="shared" si="0"/>
        <v>0</v>
      </c>
      <c r="S20" s="12">
        <f t="shared" si="0"/>
        <v>0.31415700000000002</v>
      </c>
      <c r="T20" s="12">
        <f t="shared" si="0"/>
        <v>0.62831400000000004</v>
      </c>
      <c r="U20" s="12">
        <f t="shared" si="0"/>
        <v>0.94247100000000017</v>
      </c>
      <c r="V20" s="12">
        <f t="shared" si="0"/>
        <v>1.2566280000000001</v>
      </c>
      <c r="W20" s="12">
        <f t="shared" si="0"/>
        <v>1.5707850000000001</v>
      </c>
      <c r="X20" s="12">
        <f t="shared" si="0"/>
        <v>1.8849420000000003</v>
      </c>
      <c r="Y20" s="12">
        <f t="shared" si="0"/>
        <v>2.1990990000000004</v>
      </c>
      <c r="Z20" s="12">
        <f t="shared" si="0"/>
        <v>2.5132560000000002</v>
      </c>
      <c r="AA20" s="12">
        <f t="shared" si="0"/>
        <v>2.8274130000000004</v>
      </c>
      <c r="AB20" s="12">
        <f t="shared" si="0"/>
        <v>3.1415700000000002</v>
      </c>
    </row>
    <row r="21" spans="1:28" x14ac:dyDescent="0.25">
      <c r="A21" s="11"/>
      <c r="B21" s="10" t="s">
        <v>5</v>
      </c>
      <c r="C21" s="10"/>
      <c r="D21" s="1" t="s">
        <v>4</v>
      </c>
      <c r="E21" s="3" t="s">
        <v>3</v>
      </c>
      <c r="F21" s="9"/>
      <c r="G21" s="9"/>
      <c r="H21" s="8">
        <f t="shared" ref="H21:AB21" si="1">H20*$H$27*180/3.14159</f>
        <v>-4.2893726928084193E-2</v>
      </c>
      <c r="I21" s="8">
        <f t="shared" si="1"/>
        <v>-3.8604354235275778E-2</v>
      </c>
      <c r="J21" s="8">
        <f t="shared" si="1"/>
        <v>-3.431498154246735E-2</v>
      </c>
      <c r="K21" s="8">
        <f t="shared" si="1"/>
        <v>-3.0025608849658939E-2</v>
      </c>
      <c r="L21" s="8">
        <f t="shared" si="1"/>
        <v>-2.5736236156850518E-2</v>
      </c>
      <c r="M21" s="8">
        <f t="shared" si="1"/>
        <v>-2.1446863464042096E-2</v>
      </c>
      <c r="N21" s="8">
        <f t="shared" si="1"/>
        <v>-1.7157490771233675E-2</v>
      </c>
      <c r="O21" s="8">
        <f t="shared" si="1"/>
        <v>-1.2868118078425259E-2</v>
      </c>
      <c r="P21" s="8">
        <f t="shared" si="1"/>
        <v>-8.5787453856168375E-3</v>
      </c>
      <c r="Q21" s="8">
        <f t="shared" si="1"/>
        <v>-4.2893726928084188E-3</v>
      </c>
      <c r="R21" s="8">
        <f t="shared" si="1"/>
        <v>0</v>
      </c>
      <c r="S21" s="8">
        <f t="shared" si="1"/>
        <v>4.2893726928084188E-3</v>
      </c>
      <c r="T21" s="8">
        <f t="shared" si="1"/>
        <v>8.5787453856168375E-3</v>
      </c>
      <c r="U21" s="8">
        <f t="shared" si="1"/>
        <v>1.2868118078425259E-2</v>
      </c>
      <c r="V21" s="8">
        <f t="shared" si="1"/>
        <v>1.7157490771233675E-2</v>
      </c>
      <c r="W21" s="8">
        <f t="shared" si="1"/>
        <v>2.1446863464042096E-2</v>
      </c>
      <c r="X21" s="8">
        <f t="shared" si="1"/>
        <v>2.5736236156850518E-2</v>
      </c>
      <c r="Y21" s="8">
        <f t="shared" si="1"/>
        <v>3.0025608849658939E-2</v>
      </c>
      <c r="Z21" s="8">
        <f t="shared" si="1"/>
        <v>3.431498154246735E-2</v>
      </c>
      <c r="AA21" s="8">
        <f t="shared" si="1"/>
        <v>3.8604354235275778E-2</v>
      </c>
      <c r="AB21" s="8">
        <f t="shared" si="1"/>
        <v>4.2893726928084193E-2</v>
      </c>
    </row>
    <row r="22" spans="1:28" x14ac:dyDescent="0.25">
      <c r="F22" s="6"/>
      <c r="G22" s="6"/>
      <c r="H22" s="6"/>
    </row>
    <row r="23" spans="1:28" x14ac:dyDescent="0.25">
      <c r="F23" s="6"/>
      <c r="G23" s="6"/>
      <c r="H23" s="7">
        <v>-0.3</v>
      </c>
      <c r="I23" s="1">
        <v>-0.27300000000000002</v>
      </c>
      <c r="J23" s="1">
        <v>-0.24360000000000001</v>
      </c>
      <c r="K23" s="1">
        <v>-0.2112</v>
      </c>
      <c r="L23" s="1">
        <v>-0.17780000000000001</v>
      </c>
      <c r="M23" s="1">
        <v>-0.1462</v>
      </c>
      <c r="N23" s="1">
        <v>-0.1178</v>
      </c>
      <c r="O23" s="1">
        <v>-9.1200000000000003E-2</v>
      </c>
      <c r="P23" s="1">
        <v>-6.3600000000000004E-2</v>
      </c>
      <c r="Q23" s="1">
        <v>-3.3000000000000002E-2</v>
      </c>
      <c r="R23" s="1">
        <v>0</v>
      </c>
      <c r="S23" s="1">
        <v>3.3000000000000002E-2</v>
      </c>
      <c r="T23" s="1">
        <v>6.3600000000000004E-2</v>
      </c>
      <c r="U23" s="1">
        <v>9.1200000000000003E-2</v>
      </c>
      <c r="V23" s="1">
        <v>0.1178</v>
      </c>
      <c r="W23" s="1">
        <v>0.14630000000000001</v>
      </c>
      <c r="X23" s="1">
        <v>0.17780000000000001</v>
      </c>
      <c r="Y23" s="1">
        <v>0.2112</v>
      </c>
      <c r="Z23" s="1">
        <v>0.24360000000000001</v>
      </c>
      <c r="AA23" s="1">
        <v>0.27300000000000002</v>
      </c>
      <c r="AB23" s="1">
        <v>0.3</v>
      </c>
    </row>
    <row r="24" spans="1:28" x14ac:dyDescent="0.25">
      <c r="F24" s="6"/>
      <c r="G24" s="6"/>
      <c r="H24" s="1">
        <f>0.6</f>
        <v>0.6</v>
      </c>
    </row>
    <row r="25" spans="1:28" x14ac:dyDescent="0.25">
      <c r="B25" s="2"/>
      <c r="F25" s="6"/>
      <c r="G25" s="6"/>
      <c r="H25" s="7">
        <v>-180</v>
      </c>
      <c r="I25" s="1">
        <v>-162</v>
      </c>
      <c r="J25" s="1">
        <v>-144</v>
      </c>
      <c r="K25" s="1">
        <v>-126</v>
      </c>
      <c r="L25" s="1">
        <v>-108</v>
      </c>
      <c r="M25" s="1">
        <v>-90</v>
      </c>
      <c r="N25" s="1">
        <v>-72</v>
      </c>
      <c r="O25" s="1">
        <v>-54</v>
      </c>
      <c r="P25" s="1">
        <v>-36</v>
      </c>
      <c r="Q25" s="1">
        <v>-18</v>
      </c>
      <c r="R25" s="1">
        <v>0</v>
      </c>
      <c r="S25" s="1">
        <v>18</v>
      </c>
      <c r="T25" s="1">
        <v>36</v>
      </c>
      <c r="U25" s="1">
        <v>54</v>
      </c>
      <c r="V25" s="1">
        <v>72</v>
      </c>
      <c r="W25" s="1">
        <v>90</v>
      </c>
      <c r="X25" s="1">
        <v>108</v>
      </c>
      <c r="Y25" s="1">
        <v>126</v>
      </c>
      <c r="Z25" s="1">
        <v>144</v>
      </c>
      <c r="AA25" s="1">
        <v>162</v>
      </c>
      <c r="AB25" s="1">
        <v>180</v>
      </c>
    </row>
    <row r="26" spans="1:28" x14ac:dyDescent="0.25">
      <c r="B26" s="2"/>
      <c r="H26" s="1">
        <f>3.14157/180</f>
        <v>1.7453166666666669E-2</v>
      </c>
    </row>
    <row r="27" spans="1:28" x14ac:dyDescent="0.25">
      <c r="H27" s="1">
        <f>0.0002383</f>
        <v>2.3829999999999999E-4</v>
      </c>
      <c r="J27" s="1" t="s">
        <v>2</v>
      </c>
    </row>
    <row r="28" spans="1:28" x14ac:dyDescent="0.25">
      <c r="F28" s="6"/>
      <c r="G28" s="6"/>
      <c r="H28" s="6"/>
    </row>
    <row r="29" spans="1:28" x14ac:dyDescent="0.25">
      <c r="B29" s="2"/>
      <c r="H29" s="5"/>
    </row>
    <row r="30" spans="1:28" x14ac:dyDescent="0.25">
      <c r="B30" s="2"/>
      <c r="H30" s="5"/>
    </row>
    <row r="31" spans="1:28" x14ac:dyDescent="0.25">
      <c r="E31" s="3" t="s">
        <v>1</v>
      </c>
      <c r="F31" s="4"/>
      <c r="G31" s="4"/>
      <c r="H31" s="4"/>
      <c r="I31" s="3"/>
      <c r="J31" s="3"/>
    </row>
    <row r="32" spans="1:28" x14ac:dyDescent="0.25">
      <c r="E32" s="3" t="s">
        <v>0</v>
      </c>
      <c r="F32" s="4"/>
      <c r="G32" s="4"/>
      <c r="H32" s="4"/>
      <c r="I32" s="3"/>
      <c r="J32" s="3"/>
    </row>
  </sheetData>
  <conditionalFormatting sqref="A29:A30">
    <cfRule type="cellIs" dxfId="11" priority="5" operator="equal">
      <formula>"class"</formula>
    </cfRule>
  </conditionalFormatting>
  <conditionalFormatting sqref="A4:B7 A9:B21">
    <cfRule type="cellIs" dxfId="10" priority="4" operator="equal">
      <formula>"class"</formula>
    </cfRule>
  </conditionalFormatting>
  <conditionalFormatting sqref="A25:B28">
    <cfRule type="cellIs" dxfId="9" priority="6" operator="equal">
      <formula>"class"</formula>
    </cfRule>
  </conditionalFormatting>
  <conditionalFormatting sqref="E5 E7 E9:E21">
    <cfRule type="cellIs" dxfId="8" priority="3" operator="equal">
      <formula>"class"</formula>
    </cfRule>
  </conditionalFormatting>
  <conditionalFormatting sqref="A8:B8">
    <cfRule type="cellIs" dxfId="7" priority="2" operator="equal">
      <formula>"class"</formula>
    </cfRule>
  </conditionalFormatting>
  <conditionalFormatting sqref="E8">
    <cfRule type="cellIs" dxfId="6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C2FC-DD4F-40CD-9E3F-0E3C499163D6}">
  <sheetPr>
    <tabColor rgb="FFFF9999"/>
  </sheetPr>
  <dimension ref="A1:AB32"/>
  <sheetViews>
    <sheetView tabSelected="1" workbookViewId="0">
      <pane xSplit="3" ySplit="1" topLeftCell="D2" activePane="bottomRight" state="frozen"/>
      <selection activeCell="Z11" sqref="Z11"/>
      <selection pane="topRight" activeCell="Z11" sqref="Z11"/>
      <selection pane="bottomLeft" activeCell="Z11" sqref="Z11"/>
      <selection pane="bottomRight" activeCell="A8" sqref="A8"/>
    </sheetView>
  </sheetViews>
  <sheetFormatPr defaultRowHeight="15" x14ac:dyDescent="0.25"/>
  <cols>
    <col min="1" max="1" width="14.42578125" style="2" customWidth="1"/>
    <col min="2" max="2" width="12.7109375" style="1" customWidth="1"/>
    <col min="3" max="5" width="11.140625" style="1" customWidth="1"/>
    <col min="6" max="7" width="10" style="1" customWidth="1"/>
    <col min="8" max="8" width="18.42578125" style="1" customWidth="1"/>
    <col min="9" max="28" width="7.28515625" style="1" customWidth="1"/>
    <col min="29" max="16384" width="9.140625" style="1"/>
  </cols>
  <sheetData>
    <row r="1" spans="1:28" x14ac:dyDescent="0.25">
      <c r="A1" s="27"/>
      <c r="B1" s="25"/>
      <c r="C1" s="26"/>
      <c r="D1" s="25" t="s">
        <v>37</v>
      </c>
      <c r="E1" s="25" t="s">
        <v>36</v>
      </c>
      <c r="F1" s="25" t="s">
        <v>35</v>
      </c>
      <c r="G1" s="25" t="s">
        <v>34</v>
      </c>
      <c r="H1" s="25" t="s">
        <v>33</v>
      </c>
    </row>
    <row r="2" spans="1:28" x14ac:dyDescent="0.25">
      <c r="A2" s="11" t="s">
        <v>32</v>
      </c>
      <c r="B2" s="10"/>
      <c r="C2" s="10"/>
      <c r="E2" s="6"/>
      <c r="F2" s="6"/>
      <c r="G2" s="6"/>
      <c r="H2" s="24" t="s">
        <v>31</v>
      </c>
    </row>
    <row r="3" spans="1:28" x14ac:dyDescent="0.25">
      <c r="A3" s="11" t="s">
        <v>30</v>
      </c>
      <c r="B3" s="10"/>
      <c r="C3" s="10"/>
      <c r="F3" s="6"/>
      <c r="G3" s="6"/>
      <c r="H3" s="24" t="s">
        <v>38</v>
      </c>
    </row>
    <row r="4" spans="1:28" x14ac:dyDescent="0.25">
      <c r="A4" s="11" t="s">
        <v>18</v>
      </c>
      <c r="B4" s="23"/>
      <c r="C4" s="23"/>
      <c r="D4" s="23"/>
      <c r="E4" s="23"/>
      <c r="F4" s="22"/>
      <c r="G4" s="22"/>
      <c r="H4" s="21" t="s">
        <v>28</v>
      </c>
    </row>
    <row r="5" spans="1:28" x14ac:dyDescent="0.25">
      <c r="A5" s="11" t="s">
        <v>27</v>
      </c>
      <c r="B5" s="10" t="s">
        <v>12</v>
      </c>
      <c r="C5" s="10"/>
      <c r="D5" s="1" t="s">
        <v>4</v>
      </c>
      <c r="E5" s="1" t="s">
        <v>26</v>
      </c>
      <c r="F5" s="6">
        <v>9.0499999999999997E-2</v>
      </c>
      <c r="G5" s="7">
        <v>0</v>
      </c>
      <c r="H5" s="6">
        <v>0.11927</v>
      </c>
      <c r="L5" s="7"/>
      <c r="M5" s="7"/>
      <c r="N5" s="6"/>
      <c r="P5" s="13"/>
      <c r="Q5" s="13"/>
      <c r="R5" s="13"/>
    </row>
    <row r="6" spans="1:28" x14ac:dyDescent="0.25">
      <c r="A6" s="11"/>
      <c r="B6" s="19" t="s">
        <v>25</v>
      </c>
      <c r="C6" s="10"/>
      <c r="D6" s="1" t="s">
        <v>4</v>
      </c>
      <c r="E6" s="1" t="s">
        <v>24</v>
      </c>
      <c r="F6" s="20">
        <v>9.0499999999999997E-2</v>
      </c>
      <c r="G6" s="20">
        <v>0.17899999999999999</v>
      </c>
      <c r="H6" s="20">
        <v>0.11927</v>
      </c>
      <c r="J6" s="19" t="s">
        <v>24</v>
      </c>
    </row>
    <row r="7" spans="1:28" x14ac:dyDescent="0.25">
      <c r="A7" s="11"/>
      <c r="B7" s="10" t="s">
        <v>4</v>
      </c>
      <c r="C7" s="10"/>
      <c r="D7" s="1" t="s">
        <v>10</v>
      </c>
      <c r="E7" s="1" t="s">
        <v>19</v>
      </c>
      <c r="F7" s="7"/>
      <c r="G7" s="7"/>
      <c r="H7" s="7">
        <v>19.792000000000002</v>
      </c>
    </row>
    <row r="8" spans="1:28" customFormat="1" x14ac:dyDescent="0.25">
      <c r="A8" s="28"/>
      <c r="B8" s="29" t="s">
        <v>39</v>
      </c>
      <c r="C8" s="29"/>
      <c r="D8" t="s">
        <v>40</v>
      </c>
      <c r="F8" s="30"/>
      <c r="G8" s="30"/>
      <c r="H8" s="30">
        <v>10</v>
      </c>
    </row>
    <row r="9" spans="1:28" x14ac:dyDescent="0.25">
      <c r="A9" s="11"/>
      <c r="B9" s="10" t="s">
        <v>23</v>
      </c>
      <c r="C9" s="10"/>
      <c r="D9" s="1" t="s">
        <v>22</v>
      </c>
      <c r="F9" s="7"/>
      <c r="G9" s="7"/>
      <c r="H9" s="7">
        <v>50</v>
      </c>
    </row>
    <row r="10" spans="1:28" x14ac:dyDescent="0.25">
      <c r="A10" s="11" t="s">
        <v>21</v>
      </c>
      <c r="B10" s="10" t="s">
        <v>12</v>
      </c>
      <c r="C10" s="10"/>
      <c r="D10" s="1" t="s">
        <v>4</v>
      </c>
      <c r="F10" s="6">
        <v>-0.56000000000000005</v>
      </c>
      <c r="G10" s="6">
        <v>0</v>
      </c>
      <c r="H10" s="6">
        <v>0.47</v>
      </c>
    </row>
    <row r="11" spans="1:28" x14ac:dyDescent="0.25">
      <c r="A11" s="11"/>
      <c r="B11" s="10" t="s">
        <v>20</v>
      </c>
      <c r="C11" s="10"/>
      <c r="D11" s="1" t="s">
        <v>7</v>
      </c>
      <c r="F11" s="7"/>
      <c r="G11" s="7"/>
      <c r="H11" s="7">
        <v>0.18</v>
      </c>
    </row>
    <row r="12" spans="1:28" x14ac:dyDescent="0.25">
      <c r="A12" s="11"/>
      <c r="B12" s="10" t="s">
        <v>4</v>
      </c>
      <c r="C12" s="10"/>
      <c r="D12" s="1" t="s">
        <v>10</v>
      </c>
      <c r="E12" s="1" t="s">
        <v>19</v>
      </c>
      <c r="F12" s="7"/>
      <c r="G12" s="7"/>
      <c r="H12" s="7">
        <v>1</v>
      </c>
    </row>
    <row r="13" spans="1:28" x14ac:dyDescent="0.25">
      <c r="A13" s="11"/>
      <c r="B13" s="10" t="s">
        <v>18</v>
      </c>
      <c r="C13" s="10"/>
      <c r="F13" s="7"/>
      <c r="G13" s="7"/>
      <c r="H13" s="18" t="s">
        <v>17</v>
      </c>
    </row>
    <row r="14" spans="1:28" x14ac:dyDescent="0.25">
      <c r="A14" s="11" t="s">
        <v>16</v>
      </c>
      <c r="B14" s="10" t="s">
        <v>4</v>
      </c>
      <c r="C14" s="10"/>
      <c r="D14" s="1" t="s">
        <v>10</v>
      </c>
      <c r="F14" s="7"/>
      <c r="G14" s="7"/>
      <c r="H14" s="8">
        <v>0.2</v>
      </c>
      <c r="I14" s="15"/>
      <c r="J14" s="15"/>
      <c r="K14" s="15"/>
      <c r="L14" s="15"/>
      <c r="M14" s="15"/>
      <c r="N14" s="15"/>
      <c r="O14" s="15"/>
      <c r="P14" s="15"/>
      <c r="Q14" s="15"/>
      <c r="R14" s="16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25">
      <c r="A15" s="11"/>
      <c r="B15" s="10" t="s">
        <v>15</v>
      </c>
      <c r="C15" s="10"/>
      <c r="D15" s="1" t="s">
        <v>4</v>
      </c>
      <c r="F15" s="7"/>
      <c r="G15" s="7"/>
      <c r="H15" s="8">
        <v>0.33</v>
      </c>
      <c r="I15" s="15"/>
      <c r="J15" s="15"/>
      <c r="K15" s="15"/>
      <c r="L15" s="15"/>
      <c r="M15" s="15"/>
      <c r="N15" s="15"/>
      <c r="O15" s="15"/>
      <c r="P15" s="15"/>
      <c r="Q15" s="15"/>
      <c r="R15" s="16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25">
      <c r="A16" s="11" t="s">
        <v>14</v>
      </c>
      <c r="B16" s="10" t="s">
        <v>4</v>
      </c>
      <c r="C16" s="10"/>
      <c r="D16" s="1" t="s">
        <v>10</v>
      </c>
      <c r="F16" s="7"/>
      <c r="G16" s="7"/>
      <c r="H16" s="7">
        <v>0.2</v>
      </c>
    </row>
    <row r="17" spans="1:28" x14ac:dyDescent="0.25">
      <c r="A17" s="11" t="s">
        <v>13</v>
      </c>
      <c r="B17" s="10" t="s">
        <v>12</v>
      </c>
      <c r="C17" s="10"/>
      <c r="D17" s="1" t="s">
        <v>4</v>
      </c>
      <c r="F17" s="13">
        <v>7.7869999999999995E-2</v>
      </c>
      <c r="G17" s="13">
        <v>0</v>
      </c>
      <c r="H17" s="13">
        <v>0.10644000000000001</v>
      </c>
    </row>
    <row r="18" spans="1:28" x14ac:dyDescent="0.25">
      <c r="A18" s="11"/>
      <c r="B18" s="10" t="s">
        <v>11</v>
      </c>
      <c r="C18" s="10"/>
      <c r="D18" s="1" t="s">
        <v>4</v>
      </c>
      <c r="H18" s="1">
        <f>0.01365</f>
        <v>1.3650000000000001E-2</v>
      </c>
    </row>
    <row r="19" spans="1:28" x14ac:dyDescent="0.25">
      <c r="A19" s="11"/>
      <c r="B19" s="10" t="s">
        <v>4</v>
      </c>
      <c r="C19" s="10"/>
      <c r="D19" s="1" t="s">
        <v>10</v>
      </c>
      <c r="H19" s="1">
        <v>0.05</v>
      </c>
    </row>
    <row r="20" spans="1:28" x14ac:dyDescent="0.25">
      <c r="A20" s="11" t="s">
        <v>9</v>
      </c>
      <c r="B20" s="10" t="s">
        <v>8</v>
      </c>
      <c r="C20" s="10"/>
      <c r="D20" s="1" t="s">
        <v>7</v>
      </c>
      <c r="E20" s="3" t="s">
        <v>6</v>
      </c>
      <c r="F20" s="9"/>
      <c r="G20" s="9"/>
      <c r="H20" s="12">
        <f t="shared" ref="H20:AB20" si="0">H25*$H$26</f>
        <v>-3.1415700000000002</v>
      </c>
      <c r="I20" s="12">
        <f t="shared" si="0"/>
        <v>-2.8274130000000004</v>
      </c>
      <c r="J20" s="12">
        <f t="shared" si="0"/>
        <v>-2.5132560000000002</v>
      </c>
      <c r="K20" s="12">
        <f t="shared" si="0"/>
        <v>-2.1990990000000004</v>
      </c>
      <c r="L20" s="12">
        <f t="shared" si="0"/>
        <v>-1.8849420000000003</v>
      </c>
      <c r="M20" s="12">
        <f t="shared" si="0"/>
        <v>-1.5707850000000001</v>
      </c>
      <c r="N20" s="12">
        <f t="shared" si="0"/>
        <v>-1.2566280000000001</v>
      </c>
      <c r="O20" s="12">
        <f t="shared" si="0"/>
        <v>-0.94247100000000017</v>
      </c>
      <c r="P20" s="12">
        <f t="shared" si="0"/>
        <v>-0.62831400000000004</v>
      </c>
      <c r="Q20" s="12">
        <f t="shared" si="0"/>
        <v>-0.31415700000000002</v>
      </c>
      <c r="R20" s="12">
        <f t="shared" si="0"/>
        <v>0</v>
      </c>
      <c r="S20" s="12">
        <f t="shared" si="0"/>
        <v>0.31415700000000002</v>
      </c>
      <c r="T20" s="12">
        <f t="shared" si="0"/>
        <v>0.62831400000000004</v>
      </c>
      <c r="U20" s="12">
        <f t="shared" si="0"/>
        <v>0.94247100000000017</v>
      </c>
      <c r="V20" s="12">
        <f t="shared" si="0"/>
        <v>1.2566280000000001</v>
      </c>
      <c r="W20" s="12">
        <f t="shared" si="0"/>
        <v>1.5707850000000001</v>
      </c>
      <c r="X20" s="12">
        <f t="shared" si="0"/>
        <v>1.8849420000000003</v>
      </c>
      <c r="Y20" s="12">
        <f t="shared" si="0"/>
        <v>2.1990990000000004</v>
      </c>
      <c r="Z20" s="12">
        <f t="shared" si="0"/>
        <v>2.5132560000000002</v>
      </c>
      <c r="AA20" s="12">
        <f t="shared" si="0"/>
        <v>2.8274130000000004</v>
      </c>
      <c r="AB20" s="12">
        <f t="shared" si="0"/>
        <v>3.1415700000000002</v>
      </c>
    </row>
    <row r="21" spans="1:28" x14ac:dyDescent="0.25">
      <c r="A21" s="11"/>
      <c r="B21" s="10" t="s">
        <v>5</v>
      </c>
      <c r="C21" s="10"/>
      <c r="D21" s="1" t="s">
        <v>4</v>
      </c>
      <c r="E21" s="3" t="s">
        <v>3</v>
      </c>
      <c r="F21" s="9"/>
      <c r="G21" s="9"/>
      <c r="H21" s="8">
        <f t="shared" ref="H21:AB21" si="1">H20*$H$27*180/3.14159</f>
        <v>-4.2893726928084193E-2</v>
      </c>
      <c r="I21" s="8">
        <f t="shared" si="1"/>
        <v>-3.8604354235275778E-2</v>
      </c>
      <c r="J21" s="8">
        <f t="shared" si="1"/>
        <v>-3.431498154246735E-2</v>
      </c>
      <c r="K21" s="8">
        <f t="shared" si="1"/>
        <v>-3.0025608849658939E-2</v>
      </c>
      <c r="L21" s="8">
        <f t="shared" si="1"/>
        <v>-2.5736236156850518E-2</v>
      </c>
      <c r="M21" s="8">
        <f t="shared" si="1"/>
        <v>-2.1446863464042096E-2</v>
      </c>
      <c r="N21" s="8">
        <f t="shared" si="1"/>
        <v>-1.7157490771233675E-2</v>
      </c>
      <c r="O21" s="8">
        <f t="shared" si="1"/>
        <v>-1.2868118078425259E-2</v>
      </c>
      <c r="P21" s="8">
        <f t="shared" si="1"/>
        <v>-8.5787453856168375E-3</v>
      </c>
      <c r="Q21" s="8">
        <f t="shared" si="1"/>
        <v>-4.2893726928084188E-3</v>
      </c>
      <c r="R21" s="8">
        <f t="shared" si="1"/>
        <v>0</v>
      </c>
      <c r="S21" s="8">
        <f t="shared" si="1"/>
        <v>4.2893726928084188E-3</v>
      </c>
      <c r="T21" s="8">
        <f t="shared" si="1"/>
        <v>8.5787453856168375E-3</v>
      </c>
      <c r="U21" s="8">
        <f t="shared" si="1"/>
        <v>1.2868118078425259E-2</v>
      </c>
      <c r="V21" s="8">
        <f t="shared" si="1"/>
        <v>1.7157490771233675E-2</v>
      </c>
      <c r="W21" s="8">
        <f t="shared" si="1"/>
        <v>2.1446863464042096E-2</v>
      </c>
      <c r="X21" s="8">
        <f t="shared" si="1"/>
        <v>2.5736236156850518E-2</v>
      </c>
      <c r="Y21" s="8">
        <f t="shared" si="1"/>
        <v>3.0025608849658939E-2</v>
      </c>
      <c r="Z21" s="8">
        <f t="shared" si="1"/>
        <v>3.431498154246735E-2</v>
      </c>
      <c r="AA21" s="8">
        <f t="shared" si="1"/>
        <v>3.8604354235275778E-2</v>
      </c>
      <c r="AB21" s="8">
        <f t="shared" si="1"/>
        <v>4.2893726928084193E-2</v>
      </c>
    </row>
    <row r="22" spans="1:28" x14ac:dyDescent="0.25">
      <c r="F22" s="6"/>
      <c r="G22" s="6"/>
      <c r="H22" s="6"/>
    </row>
    <row r="23" spans="1:28" x14ac:dyDescent="0.25">
      <c r="F23" s="6"/>
      <c r="G23" s="6"/>
      <c r="H23" s="7">
        <v>-0.3</v>
      </c>
      <c r="I23" s="1">
        <v>-0.27300000000000002</v>
      </c>
      <c r="J23" s="1">
        <v>-0.24360000000000001</v>
      </c>
      <c r="K23" s="1">
        <v>-0.2112</v>
      </c>
      <c r="L23" s="1">
        <v>-0.17780000000000001</v>
      </c>
      <c r="M23" s="1">
        <v>-0.1462</v>
      </c>
      <c r="N23" s="1">
        <v>-0.1178</v>
      </c>
      <c r="O23" s="1">
        <v>-9.1200000000000003E-2</v>
      </c>
      <c r="P23" s="1">
        <v>-6.3600000000000004E-2</v>
      </c>
      <c r="Q23" s="1">
        <v>-3.3000000000000002E-2</v>
      </c>
      <c r="R23" s="1">
        <v>0</v>
      </c>
      <c r="S23" s="1">
        <v>3.3000000000000002E-2</v>
      </c>
      <c r="T23" s="1">
        <v>6.3600000000000004E-2</v>
      </c>
      <c r="U23" s="1">
        <v>9.1200000000000003E-2</v>
      </c>
      <c r="V23" s="1">
        <v>0.1178</v>
      </c>
      <c r="W23" s="1">
        <v>0.14630000000000001</v>
      </c>
      <c r="X23" s="1">
        <v>0.17780000000000001</v>
      </c>
      <c r="Y23" s="1">
        <v>0.2112</v>
      </c>
      <c r="Z23" s="1">
        <v>0.24360000000000001</v>
      </c>
      <c r="AA23" s="1">
        <v>0.27300000000000002</v>
      </c>
      <c r="AB23" s="1">
        <v>0.3</v>
      </c>
    </row>
    <row r="24" spans="1:28" x14ac:dyDescent="0.25">
      <c r="F24" s="6"/>
      <c r="G24" s="6"/>
      <c r="H24" s="1">
        <f>0.6</f>
        <v>0.6</v>
      </c>
    </row>
    <row r="25" spans="1:28" x14ac:dyDescent="0.25">
      <c r="B25" s="2"/>
      <c r="F25" s="6"/>
      <c r="G25" s="6"/>
      <c r="H25" s="7">
        <v>-180</v>
      </c>
      <c r="I25" s="1">
        <v>-162</v>
      </c>
      <c r="J25" s="1">
        <v>-144</v>
      </c>
      <c r="K25" s="1">
        <v>-126</v>
      </c>
      <c r="L25" s="1">
        <v>-108</v>
      </c>
      <c r="M25" s="1">
        <v>-90</v>
      </c>
      <c r="N25" s="1">
        <v>-72</v>
      </c>
      <c r="O25" s="1">
        <v>-54</v>
      </c>
      <c r="P25" s="1">
        <v>-36</v>
      </c>
      <c r="Q25" s="1">
        <v>-18</v>
      </c>
      <c r="R25" s="1">
        <v>0</v>
      </c>
      <c r="S25" s="1">
        <v>18</v>
      </c>
      <c r="T25" s="1">
        <v>36</v>
      </c>
      <c r="U25" s="1">
        <v>54</v>
      </c>
      <c r="V25" s="1">
        <v>72</v>
      </c>
      <c r="W25" s="1">
        <v>90</v>
      </c>
      <c r="X25" s="1">
        <v>108</v>
      </c>
      <c r="Y25" s="1">
        <v>126</v>
      </c>
      <c r="Z25" s="1">
        <v>144</v>
      </c>
      <c r="AA25" s="1">
        <v>162</v>
      </c>
      <c r="AB25" s="1">
        <v>180</v>
      </c>
    </row>
    <row r="26" spans="1:28" x14ac:dyDescent="0.25">
      <c r="B26" s="2"/>
      <c r="H26" s="1">
        <f>3.14157/180</f>
        <v>1.7453166666666669E-2</v>
      </c>
    </row>
    <row r="27" spans="1:28" x14ac:dyDescent="0.25">
      <c r="H27" s="1">
        <f>0.0002383</f>
        <v>2.3829999999999999E-4</v>
      </c>
      <c r="J27" s="1" t="s">
        <v>2</v>
      </c>
    </row>
    <row r="28" spans="1:28" x14ac:dyDescent="0.25">
      <c r="F28" s="6"/>
      <c r="G28" s="6"/>
      <c r="H28" s="6"/>
    </row>
    <row r="29" spans="1:28" x14ac:dyDescent="0.25">
      <c r="B29" s="2"/>
      <c r="H29" s="5"/>
    </row>
    <row r="30" spans="1:28" x14ac:dyDescent="0.25">
      <c r="B30" s="2"/>
      <c r="H30" s="5"/>
    </row>
    <row r="31" spans="1:28" x14ac:dyDescent="0.25">
      <c r="E31" s="3" t="s">
        <v>1</v>
      </c>
      <c r="F31" s="4"/>
      <c r="G31" s="4"/>
      <c r="H31" s="4"/>
      <c r="I31" s="3"/>
      <c r="J31" s="3"/>
    </row>
    <row r="32" spans="1:28" x14ac:dyDescent="0.25">
      <c r="E32" s="3" t="s">
        <v>0</v>
      </c>
      <c r="F32" s="4"/>
      <c r="G32" s="4"/>
      <c r="H32" s="4"/>
      <c r="I32" s="3"/>
      <c r="J32" s="3"/>
    </row>
  </sheetData>
  <conditionalFormatting sqref="A29:A30">
    <cfRule type="cellIs" dxfId="5" priority="5" operator="equal">
      <formula>"class"</formula>
    </cfRule>
  </conditionalFormatting>
  <conditionalFormatting sqref="A4:B7 A9:B21">
    <cfRule type="cellIs" dxfId="4" priority="4" operator="equal">
      <formula>"class"</formula>
    </cfRule>
  </conditionalFormatting>
  <conditionalFormatting sqref="A25:B28">
    <cfRule type="cellIs" dxfId="3" priority="6" operator="equal">
      <formula>"class"</formula>
    </cfRule>
  </conditionalFormatting>
  <conditionalFormatting sqref="E5 E7 E9:E21">
    <cfRule type="cellIs" dxfId="2" priority="3" operator="equal">
      <formula>"class"</formula>
    </cfRule>
  </conditionalFormatting>
  <conditionalFormatting sqref="A8:B8">
    <cfRule type="cellIs" dxfId="1" priority="2" operator="equal">
      <formula>"class"</formula>
    </cfRule>
  </conditionalFormatting>
  <conditionalFormatting sqref="E8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WDrivenRack_1UJ_Achilles</vt:lpstr>
      <vt:lpstr>WDrivenRack_1UJ_Ch2_Achilles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2025-10-25T19:29:26Z</dcterms:created>
  <dcterms:modified xsi:type="dcterms:W3CDTF">2026-06-11T16:03:40Z</dcterms:modified>
</cp:coreProperties>
</file>