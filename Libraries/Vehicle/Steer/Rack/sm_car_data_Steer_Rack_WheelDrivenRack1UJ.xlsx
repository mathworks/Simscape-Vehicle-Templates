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9F6982BE-063B-4E5B-A5F0-224A8DFF270E}" xr6:coauthVersionLast="47" xr6:coauthVersionMax="47" xr10:uidLastSave="{00000000-0000-0000-0000-000000000000}"/>
  <bookViews>
    <workbookView xWindow="1890" yWindow="2730" windowWidth="26910" windowHeight="12765" xr2:uid="{E5F5FC43-B986-4E29-966F-C8C2FD1E0A42}"/>
  </bookViews>
  <sheets>
    <sheet name="WDrivenRack_1UJ_Achilles" sheetId="2" r:id="rId1"/>
    <sheet name="WDrivenRack_1UJ_Ch2_Achill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3" l="1"/>
  <c r="AB19" i="3"/>
  <c r="AB20" i="3"/>
  <c r="H23" i="3"/>
  <c r="H25" i="3"/>
  <c r="H19" i="3" s="1"/>
  <c r="H20" i="3" s="1"/>
  <c r="H26" i="3"/>
  <c r="H17" i="2"/>
  <c r="H19" i="2"/>
  <c r="I19" i="2"/>
  <c r="I20" i="2" s="1"/>
  <c r="AB19" i="2"/>
  <c r="AB20" i="2" s="1"/>
  <c r="H20" i="2"/>
  <c r="H23" i="2"/>
  <c r="H25" i="2"/>
  <c r="J19" i="2" s="1"/>
  <c r="J20" i="2" s="1"/>
  <c r="H26" i="2"/>
  <c r="Z19" i="3" l="1"/>
  <c r="Z20" i="3" s="1"/>
  <c r="X19" i="3"/>
  <c r="X20" i="3" s="1"/>
  <c r="W19" i="2"/>
  <c r="W20" i="2" s="1"/>
  <c r="T19" i="3"/>
  <c r="T20" i="3" s="1"/>
  <c r="U19" i="2"/>
  <c r="U20" i="2" s="1"/>
  <c r="L19" i="3"/>
  <c r="L20" i="3" s="1"/>
  <c r="M19" i="2"/>
  <c r="M20" i="2" s="1"/>
  <c r="K19" i="3"/>
  <c r="K20" i="3" s="1"/>
  <c r="L19" i="2"/>
  <c r="L20" i="2" s="1"/>
  <c r="J19" i="3"/>
  <c r="J20" i="3" s="1"/>
  <c r="AA19" i="3"/>
  <c r="AA20" i="3" s="1"/>
  <c r="AA19" i="2"/>
  <c r="AA20" i="2" s="1"/>
  <c r="Y19" i="3"/>
  <c r="Y20" i="3" s="1"/>
  <c r="Z19" i="2"/>
  <c r="Z20" i="2" s="1"/>
  <c r="Y19" i="2"/>
  <c r="Y20" i="2" s="1"/>
  <c r="W19" i="3"/>
  <c r="W20" i="3" s="1"/>
  <c r="X19" i="2"/>
  <c r="X20" i="2" s="1"/>
  <c r="V19" i="3"/>
  <c r="V20" i="3" s="1"/>
  <c r="U19" i="3"/>
  <c r="U20" i="3" s="1"/>
  <c r="V19" i="2"/>
  <c r="V20" i="2" s="1"/>
  <c r="S19" i="3"/>
  <c r="S20" i="3" s="1"/>
  <c r="T19" i="2"/>
  <c r="T20" i="2" s="1"/>
  <c r="R19" i="3"/>
  <c r="R20" i="3" s="1"/>
  <c r="S19" i="2"/>
  <c r="S20" i="2" s="1"/>
  <c r="Q19" i="3"/>
  <c r="Q20" i="3" s="1"/>
  <c r="R19" i="2"/>
  <c r="R20" i="2" s="1"/>
  <c r="P19" i="3"/>
  <c r="P20" i="3" s="1"/>
  <c r="Q19" i="2"/>
  <c r="Q20" i="2" s="1"/>
  <c r="O19" i="3"/>
  <c r="O20" i="3" s="1"/>
  <c r="P19" i="2"/>
  <c r="P20" i="2" s="1"/>
  <c r="N19" i="3"/>
  <c r="N20" i="3" s="1"/>
  <c r="O19" i="2"/>
  <c r="O20" i="2" s="1"/>
  <c r="M19" i="3"/>
  <c r="M20" i="3" s="1"/>
  <c r="N19" i="2"/>
  <c r="N20" i="2" s="1"/>
  <c r="K19" i="2"/>
  <c r="K20" i="2" s="1"/>
  <c r="I19" i="3"/>
  <c r="I20" i="3" s="1"/>
</calcChain>
</file>

<file path=xl/sharedStrings.xml><?xml version="1.0" encoding="utf-8"?>
<sst xmlns="http://schemas.openxmlformats.org/spreadsheetml/2006/main" count="118" uniqueCount="39">
  <si>
    <t>It is included here so that this variant can be used with the test harness.</t>
  </si>
  <si>
    <t>In this variant, the lookup table is not used in the model.</t>
  </si>
  <si>
    <t>ratio</t>
  </si>
  <si>
    <t>Rack Displacement - reference only</t>
  </si>
  <si>
    <t>m</t>
  </si>
  <si>
    <t>xRack</t>
  </si>
  <si>
    <t>Wheel Angle - reference only</t>
  </si>
  <si>
    <t>rad</t>
  </si>
  <si>
    <t>aWheel</t>
  </si>
  <si>
    <t>Ratio Table</t>
  </si>
  <si>
    <t>kg</t>
  </si>
  <si>
    <t>xRad</t>
  </si>
  <si>
    <t>sMount</t>
  </si>
  <si>
    <t>Pinion</t>
  </si>
  <si>
    <t>Shaft Lower</t>
  </si>
  <si>
    <t>xLength</t>
  </si>
  <si>
    <t>Shaft Upper</t>
  </si>
  <si>
    <t>FSAE</t>
  </si>
  <si>
    <t>class</t>
  </si>
  <si>
    <t>Mass</t>
  </si>
  <si>
    <t>aAxis</t>
  </si>
  <si>
    <t>Wheel</t>
  </si>
  <si>
    <t>Hz</t>
  </si>
  <si>
    <t>fActuatorCutoff</t>
  </si>
  <si>
    <t>Must  be consistent with linkage trackrod inboard point</t>
  </si>
  <si>
    <t>sOutboard</t>
  </si>
  <si>
    <t>HPRack</t>
  </si>
  <si>
    <t>Rack</t>
  </si>
  <si>
    <t>WheelDrivenRack1UJoint</t>
  </si>
  <si>
    <t>WheelDrivenRack1UJoint_Achilles</t>
  </si>
  <si>
    <t>Instance</t>
  </si>
  <si>
    <t>Steer</t>
  </si>
  <si>
    <t>Type</t>
  </si>
  <si>
    <t>z or scalar</t>
  </si>
  <si>
    <t>y</t>
  </si>
  <si>
    <t>x</t>
  </si>
  <si>
    <t>Comments</t>
  </si>
  <si>
    <t>Units</t>
  </si>
  <si>
    <t>WheelDrivenRack1UJoint_Ch2_Achilles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</si>
</sst>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2" borderId="0" xfId="1" applyFill="1"/>
    <xf numFmtId="2" fontId="2" fillId="2" borderId="0" xfId="1" applyNumberFormat="1" applyFont="1" applyFill="1"/>
    <xf numFmtId="0" fontId="1" fillId="0" borderId="0" xfId="1" applyAlignment="1">
      <alignment horizontal="right"/>
    </xf>
    <xf numFmtId="2" fontId="2" fillId="0" borderId="0" xfId="1" applyNumberFormat="1" applyFont="1"/>
    <xf numFmtId="0" fontId="2" fillId="0" borderId="0" xfId="1" applyFont="1"/>
    <xf numFmtId="164" fontId="2" fillId="0" borderId="0" xfId="1" applyNumberFormat="1" applyFont="1"/>
    <xf numFmtId="0" fontId="2" fillId="2" borderId="0" xfId="1" applyFont="1" applyFill="1"/>
    <xf numFmtId="0" fontId="1" fillId="3" borderId="0" xfId="1" applyFill="1"/>
    <xf numFmtId="0" fontId="1" fillId="3" borderId="0" xfId="1" applyFill="1" applyAlignment="1">
      <alignment horizontal="left"/>
    </xf>
    <xf numFmtId="164" fontId="2" fillId="0" borderId="0" xfId="1" applyNumberFormat="1" applyFont="1" applyAlignment="1">
      <alignment horizontal="right"/>
    </xf>
    <xf numFmtId="2" fontId="1" fillId="0" borderId="0" xfId="1" applyNumberFormat="1"/>
    <xf numFmtId="0" fontId="2" fillId="4" borderId="0" xfId="1" applyFont="1" applyFill="1"/>
    <xf numFmtId="164" fontId="1" fillId="0" borderId="0" xfId="1" applyNumberFormat="1"/>
    <xf numFmtId="1" fontId="1" fillId="0" borderId="0" xfId="1" applyNumberFormat="1"/>
    <xf numFmtId="164" fontId="2" fillId="4" borderId="0" xfId="1" applyNumberFormat="1" applyFont="1" applyFill="1"/>
    <xf numFmtId="0" fontId="2" fillId="0" borderId="0" xfId="1" applyFont="1" applyAlignment="1">
      <alignment horizontal="right"/>
    </xf>
    <xf numFmtId="0" fontId="1" fillId="5" borderId="0" xfId="1" applyFill="1"/>
    <xf numFmtId="2" fontId="2" fillId="5" borderId="0" xfId="1" applyNumberFormat="1" applyFont="1" applyFill="1"/>
    <xf numFmtId="2" fontId="2" fillId="6" borderId="0" xfId="1" applyNumberFormat="1" applyFont="1" applyFill="1" applyAlignment="1">
      <alignment horizontal="right"/>
    </xf>
    <xf numFmtId="2" fontId="2" fillId="6" borderId="0" xfId="1" applyNumberFormat="1" applyFont="1" applyFill="1"/>
    <xf numFmtId="0" fontId="1" fillId="6" borderId="0" xfId="1" applyFill="1"/>
    <xf numFmtId="2" fontId="2" fillId="0" borderId="0" xfId="1" applyNumberFormat="1" applyFont="1" applyAlignment="1">
      <alignment horizontal="right"/>
    </xf>
    <xf numFmtId="0" fontId="3" fillId="7" borderId="0" xfId="1" applyFont="1" applyFill="1" applyAlignment="1">
      <alignment horizontal="center"/>
    </xf>
    <xf numFmtId="0" fontId="1" fillId="7" borderId="0" xfId="1" applyFill="1"/>
    <xf numFmtId="0" fontId="3" fillId="7" borderId="0" xfId="1" applyFont="1" applyFill="1" applyAlignment="1">
      <alignment horizontal="left"/>
    </xf>
  </cellXfs>
  <cellStyles count="2">
    <cellStyle name="Normal" xfId="0" builtinId="0"/>
    <cellStyle name="Normal 2" xfId="1" xr:uid="{07716AD1-3E1E-463C-8691-28D31A0398FC}"/>
  </cellStyles>
  <dxfs count="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5E61-1CD1-4C13-BDB5-946CFFFE4E5F}">
  <sheetPr>
    <tabColor rgb="FFFF9999"/>
  </sheetPr>
  <dimension ref="A1:AB31"/>
  <sheetViews>
    <sheetView tabSelected="1" workbookViewId="0">
      <pane xSplit="3" ySplit="1" topLeftCell="D2" activePane="bottomRight" state="frozen"/>
      <selection activeCell="Z11" sqref="Z11"/>
      <selection pane="topRight" activeCell="Z11" sqref="Z11"/>
      <selection pane="bottomLeft" activeCell="Z11" sqref="Z11"/>
      <selection pane="bottomRight" activeCell="M8" sqref="M8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8" width="10" style="1" customWidth="1"/>
    <col min="9" max="28" width="7.28515625" style="1" customWidth="1"/>
    <col min="29" max="16384" width="9.140625" style="1"/>
  </cols>
  <sheetData>
    <row r="1" spans="1:28" x14ac:dyDescent="0.25">
      <c r="A1" s="27"/>
      <c r="B1" s="25"/>
      <c r="C1" s="26"/>
      <c r="D1" s="25" t="s">
        <v>37</v>
      </c>
      <c r="E1" s="25" t="s">
        <v>36</v>
      </c>
      <c r="F1" s="25" t="s">
        <v>35</v>
      </c>
      <c r="G1" s="25" t="s">
        <v>34</v>
      </c>
      <c r="H1" s="25" t="s">
        <v>33</v>
      </c>
    </row>
    <row r="2" spans="1:28" x14ac:dyDescent="0.25">
      <c r="A2" s="11" t="s">
        <v>32</v>
      </c>
      <c r="B2" s="10"/>
      <c r="C2" s="10"/>
      <c r="E2" s="6"/>
      <c r="F2" s="6"/>
      <c r="G2" s="6"/>
      <c r="H2" s="24" t="s">
        <v>31</v>
      </c>
    </row>
    <row r="3" spans="1:28" x14ac:dyDescent="0.25">
      <c r="A3" s="11" t="s">
        <v>30</v>
      </c>
      <c r="B3" s="10"/>
      <c r="C3" s="10"/>
      <c r="F3" s="6"/>
      <c r="G3" s="6"/>
      <c r="H3" s="24" t="s">
        <v>29</v>
      </c>
    </row>
    <row r="4" spans="1:28" x14ac:dyDescent="0.25">
      <c r="A4" s="11" t="s">
        <v>18</v>
      </c>
      <c r="B4" s="23"/>
      <c r="C4" s="23"/>
      <c r="D4" s="23"/>
      <c r="E4" s="23"/>
      <c r="F4" s="22"/>
      <c r="G4" s="22"/>
      <c r="H4" s="21" t="s">
        <v>28</v>
      </c>
    </row>
    <row r="5" spans="1:28" x14ac:dyDescent="0.25">
      <c r="A5" s="11" t="s">
        <v>27</v>
      </c>
      <c r="B5" s="10" t="s">
        <v>12</v>
      </c>
      <c r="C5" s="10"/>
      <c r="D5" s="1" t="s">
        <v>4</v>
      </c>
      <c r="E5" s="1" t="s">
        <v>26</v>
      </c>
      <c r="F5" s="6">
        <v>9.0499999999999997E-2</v>
      </c>
      <c r="G5" s="7">
        <v>0</v>
      </c>
      <c r="H5" s="6">
        <v>0.11927</v>
      </c>
      <c r="L5" s="7"/>
      <c r="M5" s="7"/>
      <c r="N5" s="6"/>
      <c r="P5" s="13"/>
      <c r="Q5" s="13"/>
      <c r="R5" s="13"/>
    </row>
    <row r="6" spans="1:28" x14ac:dyDescent="0.25">
      <c r="A6" s="11"/>
      <c r="B6" s="19" t="s">
        <v>25</v>
      </c>
      <c r="C6" s="10"/>
      <c r="D6" s="1" t="s">
        <v>4</v>
      </c>
      <c r="E6" s="1" t="s">
        <v>24</v>
      </c>
      <c r="F6" s="20">
        <v>9.0499999999999997E-2</v>
      </c>
      <c r="G6" s="20">
        <v>0.17899999999999999</v>
      </c>
      <c r="H6" s="20">
        <v>0.11927</v>
      </c>
      <c r="J6" s="19" t="s">
        <v>24</v>
      </c>
    </row>
    <row r="7" spans="1:28" x14ac:dyDescent="0.25">
      <c r="A7" s="11"/>
      <c r="B7" s="10" t="s">
        <v>4</v>
      </c>
      <c r="C7" s="10"/>
      <c r="D7" s="1" t="s">
        <v>10</v>
      </c>
      <c r="E7" s="1" t="s">
        <v>19</v>
      </c>
      <c r="F7" s="7"/>
      <c r="G7" s="7"/>
      <c r="H7" s="7">
        <v>19.792000000000002</v>
      </c>
    </row>
    <row r="8" spans="1:28" x14ac:dyDescent="0.25">
      <c r="A8" s="11"/>
      <c r="B8" s="10" t="s">
        <v>23</v>
      </c>
      <c r="C8" s="10"/>
      <c r="D8" s="1" t="s">
        <v>22</v>
      </c>
      <c r="F8" s="7"/>
      <c r="G8" s="7"/>
      <c r="H8" s="7">
        <v>50</v>
      </c>
    </row>
    <row r="9" spans="1:28" x14ac:dyDescent="0.25">
      <c r="A9" s="11" t="s">
        <v>21</v>
      </c>
      <c r="B9" s="10" t="s">
        <v>12</v>
      </c>
      <c r="C9" s="10"/>
      <c r="D9" s="1" t="s">
        <v>4</v>
      </c>
      <c r="F9" s="6">
        <v>-0.46200000000000002</v>
      </c>
      <c r="G9" s="6">
        <v>0</v>
      </c>
      <c r="H9" s="6">
        <v>0.48907</v>
      </c>
    </row>
    <row r="10" spans="1:28" x14ac:dyDescent="0.25">
      <c r="A10" s="11"/>
      <c r="B10" s="10" t="s">
        <v>20</v>
      </c>
      <c r="C10" s="10"/>
      <c r="D10" s="1" t="s">
        <v>7</v>
      </c>
      <c r="F10" s="7"/>
      <c r="G10" s="7"/>
      <c r="H10" s="7">
        <v>0.11558</v>
      </c>
    </row>
    <row r="11" spans="1:28" x14ac:dyDescent="0.25">
      <c r="A11" s="11"/>
      <c r="B11" s="10" t="s">
        <v>4</v>
      </c>
      <c r="C11" s="10"/>
      <c r="D11" s="1" t="s">
        <v>10</v>
      </c>
      <c r="E11" s="1" t="s">
        <v>19</v>
      </c>
      <c r="F11" s="7"/>
      <c r="G11" s="7"/>
      <c r="H11" s="14">
        <v>1</v>
      </c>
    </row>
    <row r="12" spans="1:28" x14ac:dyDescent="0.25">
      <c r="A12" s="11"/>
      <c r="B12" s="10" t="s">
        <v>18</v>
      </c>
      <c r="C12" s="10"/>
      <c r="F12" s="7"/>
      <c r="G12" s="7"/>
      <c r="H12" s="18" t="s">
        <v>17</v>
      </c>
    </row>
    <row r="13" spans="1:28" x14ac:dyDescent="0.25">
      <c r="A13" s="11" t="s">
        <v>16</v>
      </c>
      <c r="B13" s="10" t="s">
        <v>4</v>
      </c>
      <c r="C13" s="10"/>
      <c r="D13" s="1" t="s">
        <v>10</v>
      </c>
      <c r="F13" s="7"/>
      <c r="G13" s="7"/>
      <c r="H13" s="17">
        <v>0.2</v>
      </c>
      <c r="I13" s="15"/>
      <c r="J13" s="15"/>
      <c r="K13" s="15"/>
      <c r="L13" s="15"/>
      <c r="M13" s="15"/>
      <c r="N13" s="15"/>
      <c r="O13" s="15"/>
      <c r="P13" s="15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spans="1:28" x14ac:dyDescent="0.25">
      <c r="A14" s="11"/>
      <c r="B14" s="10" t="s">
        <v>15</v>
      </c>
      <c r="C14" s="10"/>
      <c r="D14" s="1" t="s">
        <v>4</v>
      </c>
      <c r="F14" s="7"/>
      <c r="G14" s="7"/>
      <c r="H14" s="8">
        <v>0.17230999999999999</v>
      </c>
      <c r="I14" s="15"/>
      <c r="J14" s="15"/>
      <c r="K14" s="15"/>
      <c r="L14" s="15"/>
      <c r="M14" s="15"/>
      <c r="N14" s="15"/>
      <c r="O14" s="15"/>
      <c r="P14" s="15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spans="1:28" x14ac:dyDescent="0.25">
      <c r="A15" s="11" t="s">
        <v>14</v>
      </c>
      <c r="B15" s="10" t="s">
        <v>4</v>
      </c>
      <c r="C15" s="10"/>
      <c r="D15" s="1" t="s">
        <v>10</v>
      </c>
      <c r="F15" s="7"/>
      <c r="G15" s="7"/>
      <c r="H15" s="14">
        <v>0.2</v>
      </c>
    </row>
    <row r="16" spans="1:28" x14ac:dyDescent="0.25">
      <c r="A16" s="11" t="s">
        <v>13</v>
      </c>
      <c r="B16" s="10" t="s">
        <v>12</v>
      </c>
      <c r="C16" s="10"/>
      <c r="D16" s="1" t="s">
        <v>4</v>
      </c>
      <c r="F16" s="13">
        <v>7.7869999999999995E-2</v>
      </c>
      <c r="G16" s="13">
        <v>0</v>
      </c>
      <c r="H16" s="13">
        <v>0.10644000000000001</v>
      </c>
    </row>
    <row r="17" spans="1:28" x14ac:dyDescent="0.25">
      <c r="A17" s="11"/>
      <c r="B17" s="10" t="s">
        <v>11</v>
      </c>
      <c r="C17" s="10"/>
      <c r="D17" s="1" t="s">
        <v>4</v>
      </c>
      <c r="H17" s="1">
        <f>0.01365</f>
        <v>1.3650000000000001E-2</v>
      </c>
    </row>
    <row r="18" spans="1:28" x14ac:dyDescent="0.25">
      <c r="A18" s="11"/>
      <c r="B18" s="10" t="s">
        <v>4</v>
      </c>
      <c r="C18" s="10"/>
      <c r="D18" s="1" t="s">
        <v>10</v>
      </c>
      <c r="H18" s="1">
        <v>0.05</v>
      </c>
    </row>
    <row r="19" spans="1:28" x14ac:dyDescent="0.25">
      <c r="A19" s="11" t="s">
        <v>9</v>
      </c>
      <c r="B19" s="10" t="s">
        <v>8</v>
      </c>
      <c r="C19" s="10"/>
      <c r="D19" s="1" t="s">
        <v>7</v>
      </c>
      <c r="E19" s="3" t="s">
        <v>6</v>
      </c>
      <c r="F19" s="9"/>
      <c r="G19" s="9"/>
      <c r="H19" s="12">
        <f>H24*$H$25</f>
        <v>-3.1415700000000002</v>
      </c>
      <c r="I19" s="12">
        <f>I24*$H$25</f>
        <v>-2.8274130000000004</v>
      </c>
      <c r="J19" s="12">
        <f>J24*$H$25</f>
        <v>-2.5132560000000002</v>
      </c>
      <c r="K19" s="12">
        <f>K24*$H$25</f>
        <v>-2.1990990000000004</v>
      </c>
      <c r="L19" s="12">
        <f>L24*$H$25</f>
        <v>-1.8849420000000003</v>
      </c>
      <c r="M19" s="12">
        <f>M24*$H$25</f>
        <v>-1.5707850000000001</v>
      </c>
      <c r="N19" s="12">
        <f>N24*$H$25</f>
        <v>-1.2566280000000001</v>
      </c>
      <c r="O19" s="12">
        <f>O24*$H$25</f>
        <v>-0.94247100000000017</v>
      </c>
      <c r="P19" s="12">
        <f>P24*$H$25</f>
        <v>-0.62831400000000004</v>
      </c>
      <c r="Q19" s="12">
        <f>Q24*$H$25</f>
        <v>-0.31415700000000002</v>
      </c>
      <c r="R19" s="12">
        <f>R24*$H$25</f>
        <v>0</v>
      </c>
      <c r="S19" s="12">
        <f>S24*$H$25</f>
        <v>0.31415700000000002</v>
      </c>
      <c r="T19" s="12">
        <f>T24*$H$25</f>
        <v>0.62831400000000004</v>
      </c>
      <c r="U19" s="12">
        <f>U24*$H$25</f>
        <v>0.94247100000000017</v>
      </c>
      <c r="V19" s="12">
        <f>V24*$H$25</f>
        <v>1.2566280000000001</v>
      </c>
      <c r="W19" s="12">
        <f>W24*$H$25</f>
        <v>1.5707850000000001</v>
      </c>
      <c r="X19" s="12">
        <f>X24*$H$25</f>
        <v>1.8849420000000003</v>
      </c>
      <c r="Y19" s="12">
        <f>Y24*$H$25</f>
        <v>2.1990990000000004</v>
      </c>
      <c r="Z19" s="12">
        <f>Z24*$H$25</f>
        <v>2.5132560000000002</v>
      </c>
      <c r="AA19" s="12">
        <f>AA24*$H$25</f>
        <v>2.8274130000000004</v>
      </c>
      <c r="AB19" s="12">
        <f>AB24*$H$25</f>
        <v>3.1415700000000002</v>
      </c>
    </row>
    <row r="20" spans="1:28" x14ac:dyDescent="0.25">
      <c r="A20" s="11"/>
      <c r="B20" s="10" t="s">
        <v>5</v>
      </c>
      <c r="C20" s="10"/>
      <c r="D20" s="1" t="s">
        <v>4</v>
      </c>
      <c r="E20" s="3" t="s">
        <v>3</v>
      </c>
      <c r="F20" s="9"/>
      <c r="G20" s="9"/>
      <c r="H20" s="8">
        <f>H19*$H$26*180/3.14159</f>
        <v>-4.2893726928084193E-2</v>
      </c>
      <c r="I20" s="8">
        <f>I19*$H$26*180/3.14159</f>
        <v>-3.8604354235275778E-2</v>
      </c>
      <c r="J20" s="8">
        <f>J19*$H$26*180/3.14159</f>
        <v>-3.431498154246735E-2</v>
      </c>
      <c r="K20" s="8">
        <f>K19*$H$26*180/3.14159</f>
        <v>-3.0025608849658939E-2</v>
      </c>
      <c r="L20" s="8">
        <f>L19*$H$26*180/3.14159</f>
        <v>-2.5736236156850518E-2</v>
      </c>
      <c r="M20" s="8">
        <f>M19*$H$26*180/3.14159</f>
        <v>-2.1446863464042096E-2</v>
      </c>
      <c r="N20" s="8">
        <f>N19*$H$26*180/3.14159</f>
        <v>-1.7157490771233675E-2</v>
      </c>
      <c r="O20" s="8">
        <f>O19*$H$26*180/3.14159</f>
        <v>-1.2868118078425259E-2</v>
      </c>
      <c r="P20" s="8">
        <f>P19*$H$26*180/3.14159</f>
        <v>-8.5787453856168375E-3</v>
      </c>
      <c r="Q20" s="8">
        <f>Q19*$H$26*180/3.14159</f>
        <v>-4.2893726928084188E-3</v>
      </c>
      <c r="R20" s="8">
        <f>R19*$H$26*180/3.14159</f>
        <v>0</v>
      </c>
      <c r="S20" s="8">
        <f>S19*$H$26*180/3.14159</f>
        <v>4.2893726928084188E-3</v>
      </c>
      <c r="T20" s="8">
        <f>T19*$H$26*180/3.14159</f>
        <v>8.5787453856168375E-3</v>
      </c>
      <c r="U20" s="8">
        <f>U19*$H$26*180/3.14159</f>
        <v>1.2868118078425259E-2</v>
      </c>
      <c r="V20" s="8">
        <f>V19*$H$26*180/3.14159</f>
        <v>1.7157490771233675E-2</v>
      </c>
      <c r="W20" s="8">
        <f>W19*$H$26*180/3.14159</f>
        <v>2.1446863464042096E-2</v>
      </c>
      <c r="X20" s="8">
        <f>X19*$H$26*180/3.14159</f>
        <v>2.5736236156850518E-2</v>
      </c>
      <c r="Y20" s="8">
        <f>Y19*$H$26*180/3.14159</f>
        <v>3.0025608849658939E-2</v>
      </c>
      <c r="Z20" s="8">
        <f>Z19*$H$26*180/3.14159</f>
        <v>3.431498154246735E-2</v>
      </c>
      <c r="AA20" s="8">
        <f>AA19*$H$26*180/3.14159</f>
        <v>3.8604354235275778E-2</v>
      </c>
      <c r="AB20" s="8">
        <f>AB19*$H$26*180/3.14159</f>
        <v>4.2893726928084193E-2</v>
      </c>
    </row>
    <row r="21" spans="1:28" x14ac:dyDescent="0.25">
      <c r="F21" s="6"/>
      <c r="G21" s="6"/>
      <c r="H21" s="6"/>
    </row>
    <row r="22" spans="1:28" x14ac:dyDescent="0.25">
      <c r="F22" s="6"/>
      <c r="G22" s="6"/>
      <c r="H22" s="7">
        <v>-0.3</v>
      </c>
      <c r="I22" s="1">
        <v>-0.27300000000000002</v>
      </c>
      <c r="J22" s="1">
        <v>-0.24360000000000001</v>
      </c>
      <c r="K22" s="1">
        <v>-0.2112</v>
      </c>
      <c r="L22" s="1">
        <v>-0.17780000000000001</v>
      </c>
      <c r="M22" s="1">
        <v>-0.1462</v>
      </c>
      <c r="N22" s="1">
        <v>-0.1178</v>
      </c>
      <c r="O22" s="1">
        <v>-9.1200000000000003E-2</v>
      </c>
      <c r="P22" s="1">
        <v>-6.3600000000000004E-2</v>
      </c>
      <c r="Q22" s="1">
        <v>-3.3000000000000002E-2</v>
      </c>
      <c r="R22" s="1">
        <v>0</v>
      </c>
      <c r="S22" s="1">
        <v>3.3000000000000002E-2</v>
      </c>
      <c r="T22" s="1">
        <v>6.3600000000000004E-2</v>
      </c>
      <c r="U22" s="1">
        <v>9.1200000000000003E-2</v>
      </c>
      <c r="V22" s="1">
        <v>0.1178</v>
      </c>
      <c r="W22" s="1">
        <v>0.14630000000000001</v>
      </c>
      <c r="X22" s="1">
        <v>0.17780000000000001</v>
      </c>
      <c r="Y22" s="1">
        <v>0.2112</v>
      </c>
      <c r="Z22" s="1">
        <v>0.24360000000000001</v>
      </c>
      <c r="AA22" s="1">
        <v>0.27300000000000002</v>
      </c>
      <c r="AB22" s="1">
        <v>0.3</v>
      </c>
    </row>
    <row r="23" spans="1:28" x14ac:dyDescent="0.25">
      <c r="F23" s="6"/>
      <c r="G23" s="6"/>
      <c r="H23" s="1">
        <f>0.6</f>
        <v>0.6</v>
      </c>
    </row>
    <row r="24" spans="1:28" x14ac:dyDescent="0.25">
      <c r="B24" s="2"/>
      <c r="F24" s="6"/>
      <c r="G24" s="6"/>
      <c r="H24" s="7">
        <v>-180</v>
      </c>
      <c r="I24" s="1">
        <v>-162</v>
      </c>
      <c r="J24" s="1">
        <v>-144</v>
      </c>
      <c r="K24" s="1">
        <v>-126</v>
      </c>
      <c r="L24" s="1">
        <v>-108</v>
      </c>
      <c r="M24" s="1">
        <v>-90</v>
      </c>
      <c r="N24" s="1">
        <v>-72</v>
      </c>
      <c r="O24" s="1">
        <v>-54</v>
      </c>
      <c r="P24" s="1">
        <v>-36</v>
      </c>
      <c r="Q24" s="1">
        <v>-18</v>
      </c>
      <c r="R24" s="1">
        <v>0</v>
      </c>
      <c r="S24" s="1">
        <v>18</v>
      </c>
      <c r="T24" s="1">
        <v>36</v>
      </c>
      <c r="U24" s="1">
        <v>54</v>
      </c>
      <c r="V24" s="1">
        <v>72</v>
      </c>
      <c r="W24" s="1">
        <v>90</v>
      </c>
      <c r="X24" s="1">
        <v>108</v>
      </c>
      <c r="Y24" s="1">
        <v>126</v>
      </c>
      <c r="Z24" s="1">
        <v>144</v>
      </c>
      <c r="AA24" s="1">
        <v>162</v>
      </c>
      <c r="AB24" s="1">
        <v>180</v>
      </c>
    </row>
    <row r="25" spans="1:28" x14ac:dyDescent="0.25">
      <c r="B25" s="2"/>
      <c r="H25" s="1">
        <f>3.14157/180</f>
        <v>1.7453166666666669E-2</v>
      </c>
    </row>
    <row r="26" spans="1:28" x14ac:dyDescent="0.25">
      <c r="H26" s="1">
        <f>0.0002383</f>
        <v>2.3829999999999999E-4</v>
      </c>
      <c r="J26" s="1" t="s">
        <v>2</v>
      </c>
    </row>
    <row r="27" spans="1:28" x14ac:dyDescent="0.25">
      <c r="F27" s="6"/>
      <c r="G27" s="6"/>
      <c r="H27" s="6"/>
    </row>
    <row r="28" spans="1:28" x14ac:dyDescent="0.25">
      <c r="B28" s="2"/>
      <c r="H28" s="5"/>
    </row>
    <row r="29" spans="1:28" x14ac:dyDescent="0.25">
      <c r="B29" s="2"/>
      <c r="H29" s="5"/>
    </row>
    <row r="30" spans="1:28" x14ac:dyDescent="0.25">
      <c r="E30" s="3" t="s">
        <v>1</v>
      </c>
      <c r="F30" s="4"/>
      <c r="G30" s="4"/>
      <c r="H30" s="4"/>
      <c r="I30" s="3"/>
      <c r="J30" s="3"/>
    </row>
    <row r="31" spans="1:28" x14ac:dyDescent="0.25">
      <c r="E31" s="3" t="s">
        <v>0</v>
      </c>
      <c r="F31" s="4"/>
      <c r="G31" s="4"/>
      <c r="H31" s="4"/>
      <c r="I31" s="3"/>
      <c r="J31" s="3"/>
    </row>
  </sheetData>
  <conditionalFormatting sqref="A28:A29">
    <cfRule type="cellIs" dxfId="7" priority="3" operator="equal">
      <formula>"class"</formula>
    </cfRule>
  </conditionalFormatting>
  <conditionalFormatting sqref="A4:B20">
    <cfRule type="cellIs" dxfId="6" priority="2" operator="equal">
      <formula>"class"</formula>
    </cfRule>
  </conditionalFormatting>
  <conditionalFormatting sqref="A24:B27">
    <cfRule type="cellIs" dxfId="5" priority="4" operator="equal">
      <formula>"class"</formula>
    </cfRule>
  </conditionalFormatting>
  <conditionalFormatting sqref="E5 E7:E20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C2FC-DD4F-40CD-9E3F-0E3C499163D6}">
  <sheetPr>
    <tabColor rgb="FFFF9999"/>
  </sheetPr>
  <dimension ref="A1:AB31"/>
  <sheetViews>
    <sheetView workbookViewId="0">
      <pane xSplit="3" ySplit="1" topLeftCell="D2" activePane="bottomRight" state="frozen"/>
      <selection activeCell="Z11" sqref="Z11"/>
      <selection pane="topRight" activeCell="Z11" sqref="Z11"/>
      <selection pane="bottomLeft" activeCell="Z11" sqref="Z11"/>
      <selection pane="bottomRight" activeCell="Z11" sqref="Z11"/>
    </sheetView>
  </sheetViews>
  <sheetFormatPr defaultRowHeight="15" x14ac:dyDescent="0.25"/>
  <cols>
    <col min="1" max="1" width="14.42578125" style="2" customWidth="1"/>
    <col min="2" max="2" width="12.7109375" style="1" customWidth="1"/>
    <col min="3" max="5" width="11.140625" style="1" customWidth="1"/>
    <col min="6" max="7" width="10" style="1" customWidth="1"/>
    <col min="8" max="8" width="18.42578125" style="1" customWidth="1"/>
    <col min="9" max="28" width="7.28515625" style="1" customWidth="1"/>
    <col min="29" max="16384" width="9.140625" style="1"/>
  </cols>
  <sheetData>
    <row r="1" spans="1:28" x14ac:dyDescent="0.25">
      <c r="A1" s="27"/>
      <c r="B1" s="25"/>
      <c r="C1" s="26"/>
      <c r="D1" s="25" t="s">
        <v>37</v>
      </c>
      <c r="E1" s="25" t="s">
        <v>36</v>
      </c>
      <c r="F1" s="25" t="s">
        <v>35</v>
      </c>
      <c r="G1" s="25" t="s">
        <v>34</v>
      </c>
      <c r="H1" s="25" t="s">
        <v>33</v>
      </c>
    </row>
    <row r="2" spans="1:28" x14ac:dyDescent="0.25">
      <c r="A2" s="11" t="s">
        <v>32</v>
      </c>
      <c r="B2" s="10"/>
      <c r="C2" s="10"/>
      <c r="E2" s="6"/>
      <c r="F2" s="6"/>
      <c r="G2" s="6"/>
      <c r="H2" s="24" t="s">
        <v>31</v>
      </c>
    </row>
    <row r="3" spans="1:28" x14ac:dyDescent="0.25">
      <c r="A3" s="11" t="s">
        <v>30</v>
      </c>
      <c r="B3" s="10"/>
      <c r="C3" s="10"/>
      <c r="F3" s="6"/>
      <c r="G3" s="6"/>
      <c r="H3" s="24" t="s">
        <v>38</v>
      </c>
    </row>
    <row r="4" spans="1:28" x14ac:dyDescent="0.25">
      <c r="A4" s="11" t="s">
        <v>18</v>
      </c>
      <c r="B4" s="23"/>
      <c r="C4" s="23"/>
      <c r="D4" s="23"/>
      <c r="E4" s="23"/>
      <c r="F4" s="22"/>
      <c r="G4" s="22"/>
      <c r="H4" s="21" t="s">
        <v>28</v>
      </c>
    </row>
    <row r="5" spans="1:28" x14ac:dyDescent="0.25">
      <c r="A5" s="11" t="s">
        <v>27</v>
      </c>
      <c r="B5" s="10" t="s">
        <v>12</v>
      </c>
      <c r="C5" s="10"/>
      <c r="D5" s="1" t="s">
        <v>4</v>
      </c>
      <c r="E5" s="1" t="s">
        <v>26</v>
      </c>
      <c r="F5" s="6">
        <v>9.0499999999999997E-2</v>
      </c>
      <c r="G5" s="7">
        <v>0</v>
      </c>
      <c r="H5" s="6">
        <v>0.11927</v>
      </c>
      <c r="L5" s="7"/>
      <c r="M5" s="7"/>
      <c r="N5" s="6"/>
      <c r="P5" s="13"/>
      <c r="Q5" s="13"/>
      <c r="R5" s="13"/>
    </row>
    <row r="6" spans="1:28" x14ac:dyDescent="0.25">
      <c r="A6" s="11"/>
      <c r="B6" s="19" t="s">
        <v>25</v>
      </c>
      <c r="C6" s="10"/>
      <c r="D6" s="1" t="s">
        <v>4</v>
      </c>
      <c r="E6" s="1" t="s">
        <v>24</v>
      </c>
      <c r="F6" s="20">
        <v>9.0499999999999997E-2</v>
      </c>
      <c r="G6" s="20">
        <v>0.17899999999999999</v>
      </c>
      <c r="H6" s="20">
        <v>0.11927</v>
      </c>
      <c r="J6" s="19" t="s">
        <v>24</v>
      </c>
    </row>
    <row r="7" spans="1:28" x14ac:dyDescent="0.25">
      <c r="A7" s="11"/>
      <c r="B7" s="10" t="s">
        <v>4</v>
      </c>
      <c r="C7" s="10"/>
      <c r="D7" s="1" t="s">
        <v>10</v>
      </c>
      <c r="E7" s="1" t="s">
        <v>19</v>
      </c>
      <c r="F7" s="7"/>
      <c r="G7" s="7"/>
      <c r="H7" s="7">
        <v>19.792000000000002</v>
      </c>
    </row>
    <row r="8" spans="1:28" x14ac:dyDescent="0.25">
      <c r="A8" s="11"/>
      <c r="B8" s="10" t="s">
        <v>23</v>
      </c>
      <c r="C8" s="10"/>
      <c r="D8" s="1" t="s">
        <v>22</v>
      </c>
      <c r="F8" s="7"/>
      <c r="G8" s="7"/>
      <c r="H8" s="7">
        <v>50</v>
      </c>
    </row>
    <row r="9" spans="1:28" x14ac:dyDescent="0.25">
      <c r="A9" s="11" t="s">
        <v>21</v>
      </c>
      <c r="B9" s="10" t="s">
        <v>12</v>
      </c>
      <c r="C9" s="10"/>
      <c r="D9" s="1" t="s">
        <v>4</v>
      </c>
      <c r="F9" s="6">
        <v>-0.56000000000000005</v>
      </c>
      <c r="G9" s="6">
        <v>0</v>
      </c>
      <c r="H9" s="6">
        <v>0.47</v>
      </c>
    </row>
    <row r="10" spans="1:28" x14ac:dyDescent="0.25">
      <c r="A10" s="11"/>
      <c r="B10" s="10" t="s">
        <v>20</v>
      </c>
      <c r="C10" s="10"/>
      <c r="D10" s="1" t="s">
        <v>7</v>
      </c>
      <c r="F10" s="7"/>
      <c r="G10" s="7"/>
      <c r="H10" s="7">
        <v>0.18</v>
      </c>
    </row>
    <row r="11" spans="1:28" x14ac:dyDescent="0.25">
      <c r="A11" s="11"/>
      <c r="B11" s="10" t="s">
        <v>4</v>
      </c>
      <c r="C11" s="10"/>
      <c r="D11" s="1" t="s">
        <v>10</v>
      </c>
      <c r="E11" s="1" t="s">
        <v>19</v>
      </c>
      <c r="F11" s="7"/>
      <c r="G11" s="7"/>
      <c r="H11" s="7">
        <v>1</v>
      </c>
    </row>
    <row r="12" spans="1:28" x14ac:dyDescent="0.25">
      <c r="A12" s="11"/>
      <c r="B12" s="10" t="s">
        <v>18</v>
      </c>
      <c r="C12" s="10"/>
      <c r="F12" s="7"/>
      <c r="G12" s="7"/>
      <c r="H12" s="18" t="s">
        <v>17</v>
      </c>
    </row>
    <row r="13" spans="1:28" x14ac:dyDescent="0.25">
      <c r="A13" s="11" t="s">
        <v>16</v>
      </c>
      <c r="B13" s="10" t="s">
        <v>4</v>
      </c>
      <c r="C13" s="10"/>
      <c r="D13" s="1" t="s">
        <v>10</v>
      </c>
      <c r="F13" s="7"/>
      <c r="G13" s="7"/>
      <c r="H13" s="8">
        <v>0.2</v>
      </c>
      <c r="I13" s="15"/>
      <c r="J13" s="15"/>
      <c r="K13" s="15"/>
      <c r="L13" s="15"/>
      <c r="M13" s="15"/>
      <c r="N13" s="15"/>
      <c r="O13" s="15"/>
      <c r="P13" s="15"/>
      <c r="Q13" s="15"/>
      <c r="R13" s="16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spans="1:28" x14ac:dyDescent="0.25">
      <c r="A14" s="11"/>
      <c r="B14" s="10" t="s">
        <v>15</v>
      </c>
      <c r="C14" s="10"/>
      <c r="D14" s="1" t="s">
        <v>4</v>
      </c>
      <c r="F14" s="7"/>
      <c r="G14" s="7"/>
      <c r="H14" s="8">
        <v>0.33</v>
      </c>
      <c r="I14" s="15"/>
      <c r="J14" s="15"/>
      <c r="K14" s="15"/>
      <c r="L14" s="15"/>
      <c r="M14" s="15"/>
      <c r="N14" s="15"/>
      <c r="O14" s="15"/>
      <c r="P14" s="15"/>
      <c r="Q14" s="15"/>
      <c r="R14" s="16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spans="1:28" x14ac:dyDescent="0.25">
      <c r="A15" s="11" t="s">
        <v>14</v>
      </c>
      <c r="B15" s="10" t="s">
        <v>4</v>
      </c>
      <c r="C15" s="10"/>
      <c r="D15" s="1" t="s">
        <v>10</v>
      </c>
      <c r="F15" s="7"/>
      <c r="G15" s="7"/>
      <c r="H15" s="7">
        <v>0.2</v>
      </c>
    </row>
    <row r="16" spans="1:28" x14ac:dyDescent="0.25">
      <c r="A16" s="11" t="s">
        <v>13</v>
      </c>
      <c r="B16" s="10" t="s">
        <v>12</v>
      </c>
      <c r="C16" s="10"/>
      <c r="D16" s="1" t="s">
        <v>4</v>
      </c>
      <c r="F16" s="13">
        <v>7.7869999999999995E-2</v>
      </c>
      <c r="G16" s="13">
        <v>0</v>
      </c>
      <c r="H16" s="13">
        <v>0.10644000000000001</v>
      </c>
    </row>
    <row r="17" spans="1:28" x14ac:dyDescent="0.25">
      <c r="A17" s="11"/>
      <c r="B17" s="10" t="s">
        <v>11</v>
      </c>
      <c r="C17" s="10"/>
      <c r="D17" s="1" t="s">
        <v>4</v>
      </c>
      <c r="H17" s="1">
        <f>0.01365</f>
        <v>1.3650000000000001E-2</v>
      </c>
    </row>
    <row r="18" spans="1:28" x14ac:dyDescent="0.25">
      <c r="A18" s="11"/>
      <c r="B18" s="10" t="s">
        <v>4</v>
      </c>
      <c r="C18" s="10"/>
      <c r="D18" s="1" t="s">
        <v>10</v>
      </c>
      <c r="H18" s="1">
        <v>0.05</v>
      </c>
    </row>
    <row r="19" spans="1:28" x14ac:dyDescent="0.25">
      <c r="A19" s="11" t="s">
        <v>9</v>
      </c>
      <c r="B19" s="10" t="s">
        <v>8</v>
      </c>
      <c r="C19" s="10"/>
      <c r="D19" s="1" t="s">
        <v>7</v>
      </c>
      <c r="E19" s="3" t="s">
        <v>6</v>
      </c>
      <c r="F19" s="9"/>
      <c r="G19" s="9"/>
      <c r="H19" s="12">
        <f>H24*$H$25</f>
        <v>-3.1415700000000002</v>
      </c>
      <c r="I19" s="12">
        <f>I24*$H$25</f>
        <v>-2.8274130000000004</v>
      </c>
      <c r="J19" s="12">
        <f>J24*$H$25</f>
        <v>-2.5132560000000002</v>
      </c>
      <c r="K19" s="12">
        <f>K24*$H$25</f>
        <v>-2.1990990000000004</v>
      </c>
      <c r="L19" s="12">
        <f>L24*$H$25</f>
        <v>-1.8849420000000003</v>
      </c>
      <c r="M19" s="12">
        <f>M24*$H$25</f>
        <v>-1.5707850000000001</v>
      </c>
      <c r="N19" s="12">
        <f>N24*$H$25</f>
        <v>-1.2566280000000001</v>
      </c>
      <c r="O19" s="12">
        <f>O24*$H$25</f>
        <v>-0.94247100000000017</v>
      </c>
      <c r="P19" s="12">
        <f>P24*$H$25</f>
        <v>-0.62831400000000004</v>
      </c>
      <c r="Q19" s="12">
        <f>Q24*$H$25</f>
        <v>-0.31415700000000002</v>
      </c>
      <c r="R19" s="12">
        <f>R24*$H$25</f>
        <v>0</v>
      </c>
      <c r="S19" s="12">
        <f>S24*$H$25</f>
        <v>0.31415700000000002</v>
      </c>
      <c r="T19" s="12">
        <f>T24*$H$25</f>
        <v>0.62831400000000004</v>
      </c>
      <c r="U19" s="12">
        <f>U24*$H$25</f>
        <v>0.94247100000000017</v>
      </c>
      <c r="V19" s="12">
        <f>V24*$H$25</f>
        <v>1.2566280000000001</v>
      </c>
      <c r="W19" s="12">
        <f>W24*$H$25</f>
        <v>1.5707850000000001</v>
      </c>
      <c r="X19" s="12">
        <f>X24*$H$25</f>
        <v>1.8849420000000003</v>
      </c>
      <c r="Y19" s="12">
        <f>Y24*$H$25</f>
        <v>2.1990990000000004</v>
      </c>
      <c r="Z19" s="12">
        <f>Z24*$H$25</f>
        <v>2.5132560000000002</v>
      </c>
      <c r="AA19" s="12">
        <f>AA24*$H$25</f>
        <v>2.8274130000000004</v>
      </c>
      <c r="AB19" s="12">
        <f>AB24*$H$25</f>
        <v>3.1415700000000002</v>
      </c>
    </row>
    <row r="20" spans="1:28" x14ac:dyDescent="0.25">
      <c r="A20" s="11"/>
      <c r="B20" s="10" t="s">
        <v>5</v>
      </c>
      <c r="C20" s="10"/>
      <c r="D20" s="1" t="s">
        <v>4</v>
      </c>
      <c r="E20" s="3" t="s">
        <v>3</v>
      </c>
      <c r="F20" s="9"/>
      <c r="G20" s="9"/>
      <c r="H20" s="8">
        <f>H19*$H$26*180/3.14159</f>
        <v>-4.2893726928084193E-2</v>
      </c>
      <c r="I20" s="8">
        <f>I19*$H$26*180/3.14159</f>
        <v>-3.8604354235275778E-2</v>
      </c>
      <c r="J20" s="8">
        <f>J19*$H$26*180/3.14159</f>
        <v>-3.431498154246735E-2</v>
      </c>
      <c r="K20" s="8">
        <f>K19*$H$26*180/3.14159</f>
        <v>-3.0025608849658939E-2</v>
      </c>
      <c r="L20" s="8">
        <f>L19*$H$26*180/3.14159</f>
        <v>-2.5736236156850518E-2</v>
      </c>
      <c r="M20" s="8">
        <f>M19*$H$26*180/3.14159</f>
        <v>-2.1446863464042096E-2</v>
      </c>
      <c r="N20" s="8">
        <f>N19*$H$26*180/3.14159</f>
        <v>-1.7157490771233675E-2</v>
      </c>
      <c r="O20" s="8">
        <f>O19*$H$26*180/3.14159</f>
        <v>-1.2868118078425259E-2</v>
      </c>
      <c r="P20" s="8">
        <f>P19*$H$26*180/3.14159</f>
        <v>-8.5787453856168375E-3</v>
      </c>
      <c r="Q20" s="8">
        <f>Q19*$H$26*180/3.14159</f>
        <v>-4.2893726928084188E-3</v>
      </c>
      <c r="R20" s="8">
        <f>R19*$H$26*180/3.14159</f>
        <v>0</v>
      </c>
      <c r="S20" s="8">
        <f>S19*$H$26*180/3.14159</f>
        <v>4.2893726928084188E-3</v>
      </c>
      <c r="T20" s="8">
        <f>T19*$H$26*180/3.14159</f>
        <v>8.5787453856168375E-3</v>
      </c>
      <c r="U20" s="8">
        <f>U19*$H$26*180/3.14159</f>
        <v>1.2868118078425259E-2</v>
      </c>
      <c r="V20" s="8">
        <f>V19*$H$26*180/3.14159</f>
        <v>1.7157490771233675E-2</v>
      </c>
      <c r="W20" s="8">
        <f>W19*$H$26*180/3.14159</f>
        <v>2.1446863464042096E-2</v>
      </c>
      <c r="X20" s="8">
        <f>X19*$H$26*180/3.14159</f>
        <v>2.5736236156850518E-2</v>
      </c>
      <c r="Y20" s="8">
        <f>Y19*$H$26*180/3.14159</f>
        <v>3.0025608849658939E-2</v>
      </c>
      <c r="Z20" s="8">
        <f>Z19*$H$26*180/3.14159</f>
        <v>3.431498154246735E-2</v>
      </c>
      <c r="AA20" s="8">
        <f>AA19*$H$26*180/3.14159</f>
        <v>3.8604354235275778E-2</v>
      </c>
      <c r="AB20" s="8">
        <f>AB19*$H$26*180/3.14159</f>
        <v>4.2893726928084193E-2</v>
      </c>
    </row>
    <row r="21" spans="1:28" x14ac:dyDescent="0.25">
      <c r="F21" s="6"/>
      <c r="G21" s="6"/>
      <c r="H21" s="6"/>
    </row>
    <row r="22" spans="1:28" x14ac:dyDescent="0.25">
      <c r="F22" s="6"/>
      <c r="G22" s="6"/>
      <c r="H22" s="7">
        <v>-0.3</v>
      </c>
      <c r="I22" s="1">
        <v>-0.27300000000000002</v>
      </c>
      <c r="J22" s="1">
        <v>-0.24360000000000001</v>
      </c>
      <c r="K22" s="1">
        <v>-0.2112</v>
      </c>
      <c r="L22" s="1">
        <v>-0.17780000000000001</v>
      </c>
      <c r="M22" s="1">
        <v>-0.1462</v>
      </c>
      <c r="N22" s="1">
        <v>-0.1178</v>
      </c>
      <c r="O22" s="1">
        <v>-9.1200000000000003E-2</v>
      </c>
      <c r="P22" s="1">
        <v>-6.3600000000000004E-2</v>
      </c>
      <c r="Q22" s="1">
        <v>-3.3000000000000002E-2</v>
      </c>
      <c r="R22" s="1">
        <v>0</v>
      </c>
      <c r="S22" s="1">
        <v>3.3000000000000002E-2</v>
      </c>
      <c r="T22" s="1">
        <v>6.3600000000000004E-2</v>
      </c>
      <c r="U22" s="1">
        <v>9.1200000000000003E-2</v>
      </c>
      <c r="V22" s="1">
        <v>0.1178</v>
      </c>
      <c r="W22" s="1">
        <v>0.14630000000000001</v>
      </c>
      <c r="X22" s="1">
        <v>0.17780000000000001</v>
      </c>
      <c r="Y22" s="1">
        <v>0.2112</v>
      </c>
      <c r="Z22" s="1">
        <v>0.24360000000000001</v>
      </c>
      <c r="AA22" s="1">
        <v>0.27300000000000002</v>
      </c>
      <c r="AB22" s="1">
        <v>0.3</v>
      </c>
    </row>
    <row r="23" spans="1:28" x14ac:dyDescent="0.25">
      <c r="F23" s="6"/>
      <c r="G23" s="6"/>
      <c r="H23" s="1">
        <f>0.6</f>
        <v>0.6</v>
      </c>
    </row>
    <row r="24" spans="1:28" x14ac:dyDescent="0.25">
      <c r="B24" s="2"/>
      <c r="F24" s="6"/>
      <c r="G24" s="6"/>
      <c r="H24" s="7">
        <v>-180</v>
      </c>
      <c r="I24" s="1">
        <v>-162</v>
      </c>
      <c r="J24" s="1">
        <v>-144</v>
      </c>
      <c r="K24" s="1">
        <v>-126</v>
      </c>
      <c r="L24" s="1">
        <v>-108</v>
      </c>
      <c r="M24" s="1">
        <v>-90</v>
      </c>
      <c r="N24" s="1">
        <v>-72</v>
      </c>
      <c r="O24" s="1">
        <v>-54</v>
      </c>
      <c r="P24" s="1">
        <v>-36</v>
      </c>
      <c r="Q24" s="1">
        <v>-18</v>
      </c>
      <c r="R24" s="1">
        <v>0</v>
      </c>
      <c r="S24" s="1">
        <v>18</v>
      </c>
      <c r="T24" s="1">
        <v>36</v>
      </c>
      <c r="U24" s="1">
        <v>54</v>
      </c>
      <c r="V24" s="1">
        <v>72</v>
      </c>
      <c r="W24" s="1">
        <v>90</v>
      </c>
      <c r="X24" s="1">
        <v>108</v>
      </c>
      <c r="Y24" s="1">
        <v>126</v>
      </c>
      <c r="Z24" s="1">
        <v>144</v>
      </c>
      <c r="AA24" s="1">
        <v>162</v>
      </c>
      <c r="AB24" s="1">
        <v>180</v>
      </c>
    </row>
    <row r="25" spans="1:28" x14ac:dyDescent="0.25">
      <c r="B25" s="2"/>
      <c r="H25" s="1">
        <f>3.14157/180</f>
        <v>1.7453166666666669E-2</v>
      </c>
    </row>
    <row r="26" spans="1:28" x14ac:dyDescent="0.25">
      <c r="H26" s="1">
        <f>0.0002383</f>
        <v>2.3829999999999999E-4</v>
      </c>
      <c r="J26" s="1" t="s">
        <v>2</v>
      </c>
    </row>
    <row r="27" spans="1:28" x14ac:dyDescent="0.25">
      <c r="F27" s="6"/>
      <c r="G27" s="6"/>
      <c r="H27" s="6"/>
    </row>
    <row r="28" spans="1:28" x14ac:dyDescent="0.25">
      <c r="B28" s="2"/>
      <c r="H28" s="5"/>
    </row>
    <row r="29" spans="1:28" x14ac:dyDescent="0.25">
      <c r="B29" s="2"/>
      <c r="H29" s="5"/>
    </row>
    <row r="30" spans="1:28" x14ac:dyDescent="0.25">
      <c r="E30" s="3" t="s">
        <v>1</v>
      </c>
      <c r="F30" s="4"/>
      <c r="G30" s="4"/>
      <c r="H30" s="4"/>
      <c r="I30" s="3"/>
      <c r="J30" s="3"/>
    </row>
    <row r="31" spans="1:28" x14ac:dyDescent="0.25">
      <c r="E31" s="3" t="s">
        <v>0</v>
      </c>
      <c r="F31" s="4"/>
      <c r="G31" s="4"/>
      <c r="H31" s="4"/>
      <c r="I31" s="3"/>
      <c r="J31" s="3"/>
    </row>
  </sheetData>
  <conditionalFormatting sqref="A28:A29">
    <cfRule type="cellIs" dxfId="3" priority="3" operator="equal">
      <formula>"class"</formula>
    </cfRule>
  </conditionalFormatting>
  <conditionalFormatting sqref="A4:B20">
    <cfRule type="cellIs" dxfId="2" priority="2" operator="equal">
      <formula>"class"</formula>
    </cfRule>
  </conditionalFormatting>
  <conditionalFormatting sqref="A24:B27">
    <cfRule type="cellIs" dxfId="1" priority="4" operator="equal">
      <formula>"class"</formula>
    </cfRule>
  </conditionalFormatting>
  <conditionalFormatting sqref="E5 E7:E20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WDrivenRack_1UJ_Achilles</vt:lpstr>
      <vt:lpstr>WDrivenRack_1UJ_Ch2_Achilles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2025-10-25T19:29:26Z</dcterms:created>
  <dcterms:modified xsi:type="dcterms:W3CDTF">2025-10-25T19:30:12Z</dcterms:modified>
</cp:coreProperties>
</file>