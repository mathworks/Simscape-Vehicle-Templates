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GIT\Others\smiller\ssvt_srcR22a\Libraries\Vehicle\Steer\Rack\"/>
    </mc:Choice>
  </mc:AlternateContent>
  <xr:revisionPtr revIDLastSave="0" documentId="13_ncr:1_{9C45233C-8510-4114-816B-B18F19D5B169}" xr6:coauthVersionLast="47" xr6:coauthVersionMax="47" xr10:uidLastSave="{00000000-0000-0000-0000-000000000000}"/>
  <bookViews>
    <workbookView xWindow="38040" yWindow="3270" windowWidth="26910" windowHeight="12765" xr2:uid="{81D00B8F-F90E-40C0-B135-4F03BBBA4F9B}"/>
  </bookViews>
  <sheets>
    <sheet name="RStaticShafts_HambaLG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1" i="2" l="1"/>
  <c r="N21" i="2"/>
  <c r="O21" i="2"/>
  <c r="P21" i="2"/>
  <c r="Q21" i="2"/>
  <c r="R21" i="2"/>
  <c r="H26" i="2"/>
  <c r="S21" i="2" s="1"/>
  <c r="Z21" i="2" l="1"/>
  <c r="W21" i="2"/>
  <c r="V21" i="2"/>
  <c r="M21" i="2"/>
  <c r="K21" i="2"/>
  <c r="I21" i="2"/>
  <c r="AA21" i="2"/>
  <c r="X21" i="2"/>
  <c r="U21" i="2"/>
  <c r="J21" i="2"/>
  <c r="H21" i="2"/>
  <c r="AB21" i="2"/>
  <c r="Y21" i="2"/>
  <c r="T21" i="2"/>
</calcChain>
</file>

<file path=xl/sharedStrings.xml><?xml version="1.0" encoding="utf-8"?>
<sst xmlns="http://schemas.openxmlformats.org/spreadsheetml/2006/main" count="62" uniqueCount="37">
  <si>
    <t>Rack Displacement</t>
  </si>
  <si>
    <t>m</t>
  </si>
  <si>
    <t>xRack</t>
  </si>
  <si>
    <t>Wheel Angle</t>
  </si>
  <si>
    <t>rad</t>
  </si>
  <si>
    <t>aWheel</t>
  </si>
  <si>
    <t>Ratio Table</t>
  </si>
  <si>
    <t>kg</t>
  </si>
  <si>
    <t>xRad</t>
  </si>
  <si>
    <t>Pinion sMount taken from WDrivenRack_HambaLG_f</t>
  </si>
  <si>
    <t>sMount</t>
  </si>
  <si>
    <t>Pinion</t>
  </si>
  <si>
    <t>xLength</t>
  </si>
  <si>
    <t>Shaft Lower</t>
  </si>
  <si>
    <t>Shaft Intermediate</t>
  </si>
  <si>
    <t>Shaft Upper</t>
  </si>
  <si>
    <t>Sedan</t>
  </si>
  <si>
    <t>class</t>
  </si>
  <si>
    <t>Mass</t>
  </si>
  <si>
    <t>aAxis</t>
  </si>
  <si>
    <t>Wheel</t>
  </si>
  <si>
    <t>Hz</t>
  </si>
  <si>
    <t>fActuatorCutoff</t>
  </si>
  <si>
    <t>Must  be consistent with linkage trackrod inboard point</t>
  </si>
  <si>
    <t>sOutboard</t>
  </si>
  <si>
    <t>HPRack</t>
  </si>
  <si>
    <t>Rack</t>
  </si>
  <si>
    <t>RackStaticShafts</t>
  </si>
  <si>
    <t>RackStaticShafts_Sedan_HambaLG_f</t>
  </si>
  <si>
    <t>Instance</t>
  </si>
  <si>
    <t>Steer</t>
  </si>
  <si>
    <t>Type</t>
  </si>
  <si>
    <t>z or scalar</t>
  </si>
  <si>
    <t>y</t>
  </si>
  <si>
    <t>x</t>
  </si>
  <si>
    <t>Comments</t>
  </si>
  <si>
    <t>Units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</si>
</sst>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4" x14ac:knownFonts="1"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sz val="11"/>
      <name val="Calibri"/>
      <family val="2"/>
    </font>
    <font>
      <b/>
      <sz val="11"/>
      <color theme="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21">
    <xf numFmtId="0" fontId="0" fillId="0" borderId="0" xfId="0"/>
    <xf numFmtId="0" fontId="1" fillId="0" borderId="0" xfId="1"/>
    <xf numFmtId="0" fontId="1" fillId="0" borderId="0" xfId="1" applyAlignment="1">
      <alignment horizontal="left"/>
    </xf>
    <xf numFmtId="0" fontId="1" fillId="0" borderId="0" xfId="1" applyAlignment="1">
      <alignment horizontal="right"/>
    </xf>
    <xf numFmtId="2" fontId="2" fillId="0" borderId="0" xfId="1" applyNumberFormat="1" applyFont="1"/>
    <xf numFmtId="0" fontId="2" fillId="0" borderId="0" xfId="1" applyFont="1"/>
    <xf numFmtId="0" fontId="1" fillId="2" borderId="0" xfId="1" applyFill="1"/>
    <xf numFmtId="0" fontId="1" fillId="2" borderId="0" xfId="1" applyFill="1" applyAlignment="1">
      <alignment horizontal="left"/>
    </xf>
    <xf numFmtId="164" fontId="1" fillId="0" borderId="0" xfId="1" applyNumberFormat="1"/>
    <xf numFmtId="1" fontId="1" fillId="0" borderId="0" xfId="1" applyNumberFormat="1"/>
    <xf numFmtId="164" fontId="2" fillId="0" borderId="0" xfId="1" applyNumberFormat="1" applyFont="1"/>
    <xf numFmtId="0" fontId="2" fillId="0" borderId="0" xfId="1" applyFont="1" applyAlignment="1">
      <alignment horizontal="right"/>
    </xf>
    <xf numFmtId="0" fontId="1" fillId="3" borderId="0" xfId="1" applyFill="1"/>
    <xf numFmtId="2" fontId="2" fillId="3" borderId="0" xfId="1" applyNumberFormat="1" applyFont="1" applyFill="1"/>
    <xf numFmtId="2" fontId="2" fillId="4" borderId="0" xfId="1" applyNumberFormat="1" applyFont="1" applyFill="1" applyAlignment="1">
      <alignment horizontal="right"/>
    </xf>
    <xf numFmtId="2" fontId="2" fillId="4" borderId="0" xfId="1" applyNumberFormat="1" applyFont="1" applyFill="1"/>
    <xf numFmtId="0" fontId="1" fillId="4" borderId="0" xfId="1" applyFill="1"/>
    <xf numFmtId="2" fontId="2" fillId="0" borderId="0" xfId="1" applyNumberFormat="1" applyFont="1" applyAlignment="1">
      <alignment horizontal="right"/>
    </xf>
    <xf numFmtId="0" fontId="3" fillId="5" borderId="0" xfId="1" applyFont="1" applyFill="1" applyAlignment="1">
      <alignment horizontal="center"/>
    </xf>
    <xf numFmtId="0" fontId="1" fillId="5" borderId="0" xfId="1" applyFill="1"/>
    <xf numFmtId="0" fontId="3" fillId="5" borderId="0" xfId="1" applyFont="1" applyFill="1" applyAlignment="1">
      <alignment horizontal="left"/>
    </xf>
  </cellXfs>
  <cellStyles count="2">
    <cellStyle name="Normal" xfId="0" builtinId="0"/>
    <cellStyle name="Normal 2" xfId="1" xr:uid="{4ACB8262-732C-44F7-9A3E-689D43211EF3}"/>
  </cellStyles>
  <dxfs count="4"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4E271B-177B-4621-A8AD-6A7C0390AA27}">
  <sheetPr>
    <tabColor theme="8" tint="-0.249977111117893"/>
  </sheetPr>
  <dimension ref="A1:AB38"/>
  <sheetViews>
    <sheetView tabSelected="1" workbookViewId="0">
      <pane xSplit="3" ySplit="1" topLeftCell="D2" activePane="bottomRight" state="frozen"/>
      <selection activeCell="F21" sqref="F21"/>
      <selection pane="topRight" activeCell="F21" sqref="F21"/>
      <selection pane="bottomLeft" activeCell="F21" sqref="F21"/>
      <selection pane="bottomRight" activeCell="E14" sqref="E14"/>
    </sheetView>
  </sheetViews>
  <sheetFormatPr defaultRowHeight="15" x14ac:dyDescent="0.25"/>
  <cols>
    <col min="1" max="1" width="14.42578125" style="2" customWidth="1"/>
    <col min="2" max="2" width="12.7109375" style="1" customWidth="1"/>
    <col min="3" max="5" width="11.140625" style="1" customWidth="1"/>
    <col min="6" max="8" width="10" style="1" customWidth="1"/>
    <col min="9" max="28" width="7.28515625" style="1" customWidth="1"/>
    <col min="29" max="16384" width="9.140625" style="1"/>
  </cols>
  <sheetData>
    <row r="1" spans="1:28" x14ac:dyDescent="0.25">
      <c r="A1" s="20"/>
      <c r="B1" s="18"/>
      <c r="C1" s="19"/>
      <c r="D1" s="18" t="s">
        <v>36</v>
      </c>
      <c r="E1" s="18" t="s">
        <v>35</v>
      </c>
      <c r="F1" s="18" t="s">
        <v>34</v>
      </c>
      <c r="G1" s="18" t="s">
        <v>33</v>
      </c>
      <c r="H1" s="18" t="s">
        <v>32</v>
      </c>
    </row>
    <row r="2" spans="1:28" x14ac:dyDescent="0.25">
      <c r="A2" s="7" t="s">
        <v>31</v>
      </c>
      <c r="B2" s="6"/>
      <c r="C2" s="6"/>
      <c r="E2" s="4"/>
      <c r="F2" s="4"/>
      <c r="G2" s="4"/>
      <c r="H2" s="17" t="s">
        <v>30</v>
      </c>
    </row>
    <row r="3" spans="1:28" x14ac:dyDescent="0.25">
      <c r="A3" s="7" t="s">
        <v>29</v>
      </c>
      <c r="B3" s="6"/>
      <c r="C3" s="6"/>
      <c r="F3" s="4"/>
      <c r="G3" s="4"/>
      <c r="H3" s="17" t="s">
        <v>28</v>
      </c>
    </row>
    <row r="4" spans="1:28" x14ac:dyDescent="0.25">
      <c r="A4" s="7" t="s">
        <v>17</v>
      </c>
      <c r="B4" s="16"/>
      <c r="C4" s="16"/>
      <c r="D4" s="16"/>
      <c r="E4" s="16"/>
      <c r="F4" s="15"/>
      <c r="G4" s="15"/>
      <c r="H4" s="14" t="s">
        <v>27</v>
      </c>
    </row>
    <row r="5" spans="1:28" x14ac:dyDescent="0.25">
      <c r="A5" s="7" t="s">
        <v>26</v>
      </c>
      <c r="B5" s="6" t="s">
        <v>10</v>
      </c>
      <c r="C5" s="6"/>
      <c r="D5" s="1" t="s">
        <v>1</v>
      </c>
      <c r="E5" s="1" t="s">
        <v>25</v>
      </c>
      <c r="F5" s="4">
        <v>0.15379999999999999</v>
      </c>
      <c r="G5" s="5">
        <v>0</v>
      </c>
      <c r="H5" s="4">
        <v>0.24</v>
      </c>
    </row>
    <row r="6" spans="1:28" x14ac:dyDescent="0.25">
      <c r="A6" s="7"/>
      <c r="B6" s="12" t="s">
        <v>24</v>
      </c>
      <c r="C6" s="6"/>
      <c r="D6" s="1" t="s">
        <v>1</v>
      </c>
      <c r="E6" s="1" t="s">
        <v>23</v>
      </c>
      <c r="F6" s="13">
        <v>0.15379999999999999</v>
      </c>
      <c r="G6" s="13">
        <v>0.65</v>
      </c>
      <c r="H6" s="13">
        <v>0.24</v>
      </c>
      <c r="J6" s="12" t="s">
        <v>23</v>
      </c>
    </row>
    <row r="7" spans="1:28" x14ac:dyDescent="0.25">
      <c r="A7" s="7"/>
      <c r="B7" s="6" t="s">
        <v>1</v>
      </c>
      <c r="C7" s="6"/>
      <c r="D7" s="1" t="s">
        <v>7</v>
      </c>
      <c r="E7" s="1" t="s">
        <v>18</v>
      </c>
      <c r="F7" s="5"/>
      <c r="G7" s="5"/>
      <c r="H7" s="5">
        <v>19.792000000000002</v>
      </c>
    </row>
    <row r="8" spans="1:28" x14ac:dyDescent="0.25">
      <c r="A8" s="7"/>
      <c r="B8" s="6" t="s">
        <v>22</v>
      </c>
      <c r="C8" s="6"/>
      <c r="D8" s="1" t="s">
        <v>21</v>
      </c>
      <c r="F8" s="5"/>
      <c r="G8" s="5"/>
      <c r="H8" s="5">
        <v>50</v>
      </c>
    </row>
    <row r="9" spans="1:28" x14ac:dyDescent="0.25">
      <c r="A9" s="7" t="s">
        <v>20</v>
      </c>
      <c r="B9" s="6" t="s">
        <v>10</v>
      </c>
      <c r="C9" s="6"/>
      <c r="D9" s="1" t="s">
        <v>1</v>
      </c>
      <c r="F9" s="4">
        <v>-1.3243331220516996</v>
      </c>
      <c r="G9" s="4">
        <v>0.45175517503754498</v>
      </c>
      <c r="H9" s="4">
        <v>0.88921153885340298</v>
      </c>
    </row>
    <row r="10" spans="1:28" x14ac:dyDescent="0.25">
      <c r="A10" s="7"/>
      <c r="B10" s="6" t="s">
        <v>19</v>
      </c>
      <c r="C10" s="6"/>
      <c r="D10" s="1" t="s">
        <v>4</v>
      </c>
      <c r="F10" s="5"/>
      <c r="G10" s="5"/>
      <c r="H10" s="5">
        <v>0.35289999999999999</v>
      </c>
    </row>
    <row r="11" spans="1:28" x14ac:dyDescent="0.25">
      <c r="A11" s="7"/>
      <c r="B11" s="6" t="s">
        <v>1</v>
      </c>
      <c r="C11" s="6"/>
      <c r="D11" s="1" t="s">
        <v>7</v>
      </c>
      <c r="E11" s="1" t="s">
        <v>18</v>
      </c>
      <c r="F11" s="5"/>
      <c r="G11" s="5"/>
      <c r="H11" s="5">
        <v>1</v>
      </c>
    </row>
    <row r="12" spans="1:28" x14ac:dyDescent="0.25">
      <c r="A12" s="7"/>
      <c r="B12" s="6" t="s">
        <v>17</v>
      </c>
      <c r="C12" s="6"/>
      <c r="F12" s="5"/>
      <c r="G12" s="5"/>
      <c r="H12" s="11" t="s">
        <v>16</v>
      </c>
    </row>
    <row r="13" spans="1:28" x14ac:dyDescent="0.25">
      <c r="A13" s="7" t="s">
        <v>15</v>
      </c>
      <c r="B13" s="6" t="s">
        <v>1</v>
      </c>
      <c r="C13" s="6"/>
      <c r="D13" s="1" t="s">
        <v>7</v>
      </c>
      <c r="F13" s="5"/>
      <c r="G13" s="5"/>
      <c r="H13" s="10">
        <v>0.2</v>
      </c>
      <c r="I13" s="8"/>
      <c r="J13" s="8"/>
      <c r="K13" s="8"/>
      <c r="L13" s="8"/>
      <c r="M13" s="8"/>
      <c r="N13" s="8"/>
      <c r="O13" s="8"/>
      <c r="P13" s="8"/>
      <c r="Q13" s="8"/>
      <c r="R13" s="9"/>
      <c r="S13" s="8"/>
      <c r="T13" s="8"/>
      <c r="U13" s="8"/>
      <c r="V13" s="8"/>
      <c r="W13" s="8"/>
      <c r="X13" s="8"/>
      <c r="Y13" s="8"/>
      <c r="Z13" s="8"/>
      <c r="AA13" s="8"/>
      <c r="AB13" s="8"/>
    </row>
    <row r="14" spans="1:28" x14ac:dyDescent="0.25">
      <c r="A14" s="7"/>
      <c r="B14" s="6" t="s">
        <v>12</v>
      </c>
      <c r="C14" s="6"/>
      <c r="D14" s="1" t="s">
        <v>1</v>
      </c>
      <c r="F14" s="5"/>
      <c r="G14" s="5"/>
      <c r="H14" s="10">
        <v>0.4</v>
      </c>
      <c r="I14" s="8"/>
      <c r="J14" s="8"/>
      <c r="K14" s="8"/>
      <c r="L14" s="8"/>
      <c r="M14" s="8"/>
      <c r="N14" s="8"/>
      <c r="O14" s="8"/>
      <c r="P14" s="8"/>
      <c r="Q14" s="8"/>
      <c r="R14" s="9"/>
      <c r="S14" s="8"/>
      <c r="T14" s="8"/>
      <c r="U14" s="8"/>
      <c r="V14" s="8"/>
      <c r="W14" s="8"/>
      <c r="X14" s="8"/>
      <c r="Y14" s="8"/>
      <c r="Z14" s="8"/>
      <c r="AA14" s="8"/>
      <c r="AB14" s="8"/>
    </row>
    <row r="15" spans="1:28" x14ac:dyDescent="0.25">
      <c r="A15" s="7" t="s">
        <v>14</v>
      </c>
      <c r="B15" s="6" t="s">
        <v>1</v>
      </c>
      <c r="C15" s="6"/>
      <c r="D15" s="1" t="s">
        <v>7</v>
      </c>
      <c r="F15" s="5"/>
      <c r="G15" s="5"/>
      <c r="H15" s="5">
        <v>0.2</v>
      </c>
    </row>
    <row r="16" spans="1:28" x14ac:dyDescent="0.25">
      <c r="A16" s="7" t="s">
        <v>13</v>
      </c>
      <c r="B16" s="6" t="s">
        <v>1</v>
      </c>
      <c r="C16" s="6"/>
      <c r="D16" s="1" t="s">
        <v>7</v>
      </c>
      <c r="H16" s="5">
        <v>0.2</v>
      </c>
    </row>
    <row r="17" spans="1:28" x14ac:dyDescent="0.25">
      <c r="A17" s="7"/>
      <c r="B17" s="6" t="s">
        <v>12</v>
      </c>
      <c r="C17" s="6"/>
      <c r="D17" s="1" t="s">
        <v>1</v>
      </c>
      <c r="H17" s="1">
        <v>0.4</v>
      </c>
    </row>
    <row r="18" spans="1:28" x14ac:dyDescent="0.25">
      <c r="A18" s="7" t="s">
        <v>11</v>
      </c>
      <c r="B18" s="6" t="s">
        <v>10</v>
      </c>
      <c r="C18" s="6"/>
      <c r="D18" s="1" t="s">
        <v>1</v>
      </c>
      <c r="F18" s="1">
        <v>0.13380000000000003</v>
      </c>
      <c r="G18" s="1">
        <v>0.2</v>
      </c>
      <c r="H18" s="1">
        <v>0.20535898384862206</v>
      </c>
      <c r="L18" s="1" t="s">
        <v>9</v>
      </c>
    </row>
    <row r="19" spans="1:28" x14ac:dyDescent="0.25">
      <c r="A19" s="7"/>
      <c r="B19" s="6" t="s">
        <v>8</v>
      </c>
      <c r="C19" s="6"/>
      <c r="D19" s="1" t="s">
        <v>1</v>
      </c>
      <c r="H19" s="1">
        <v>9.6000000000000002E-2</v>
      </c>
    </row>
    <row r="20" spans="1:28" x14ac:dyDescent="0.25">
      <c r="A20" s="7"/>
      <c r="B20" s="6" t="s">
        <v>1</v>
      </c>
      <c r="C20" s="6"/>
      <c r="D20" s="1" t="s">
        <v>7</v>
      </c>
      <c r="H20" s="1">
        <v>0.05</v>
      </c>
    </row>
    <row r="21" spans="1:28" x14ac:dyDescent="0.25">
      <c r="A21" s="7" t="s">
        <v>6</v>
      </c>
      <c r="B21" s="6" t="s">
        <v>5</v>
      </c>
      <c r="C21" s="6"/>
      <c r="D21" s="1" t="s">
        <v>4</v>
      </c>
      <c r="E21" s="1" t="s">
        <v>3</v>
      </c>
      <c r="F21" s="5"/>
      <c r="G21" s="5"/>
      <c r="H21" s="5">
        <f>H25*$H$26</f>
        <v>-3.1415700000000002</v>
      </c>
      <c r="I21" s="5">
        <f>I25*$H$26</f>
        <v>-2.8274130000000004</v>
      </c>
      <c r="J21" s="5">
        <f>J25*$H$26</f>
        <v>-2.5132560000000002</v>
      </c>
      <c r="K21" s="5">
        <f>K25*$H$26</f>
        <v>-2.1990990000000004</v>
      </c>
      <c r="L21" s="5">
        <f>L25*$H$26</f>
        <v>-1.8849420000000003</v>
      </c>
      <c r="M21" s="5">
        <f>M25*$H$26</f>
        <v>-1.5707850000000001</v>
      </c>
      <c r="N21" s="5">
        <f>N25*$H$26</f>
        <v>-1.2566280000000001</v>
      </c>
      <c r="O21" s="5">
        <f>O25*$H$26</f>
        <v>-0.94247100000000017</v>
      </c>
      <c r="P21" s="5">
        <f>P25*$H$26</f>
        <v>-0.62831400000000004</v>
      </c>
      <c r="Q21" s="5">
        <f>Q25*$H$26</f>
        <v>-0.31415700000000002</v>
      </c>
      <c r="R21" s="5">
        <f>R25*$H$26</f>
        <v>0</v>
      </c>
      <c r="S21" s="5">
        <f>S25*$H$26</f>
        <v>0.31415700000000002</v>
      </c>
      <c r="T21" s="5">
        <f>T25*$H$26</f>
        <v>0.62831400000000004</v>
      </c>
      <c r="U21" s="5">
        <f>U25*$H$26</f>
        <v>0.94247100000000017</v>
      </c>
      <c r="V21" s="5">
        <f>V25*$H$26</f>
        <v>1.2566280000000001</v>
      </c>
      <c r="W21" s="5">
        <f>W25*$H$26</f>
        <v>1.5707850000000001</v>
      </c>
      <c r="X21" s="5">
        <f>X25*$H$26</f>
        <v>1.8849420000000003</v>
      </c>
      <c r="Y21" s="5">
        <f>Y25*$H$26</f>
        <v>2.1990990000000004</v>
      </c>
      <c r="Z21" s="5">
        <f>Z25*$H$26</f>
        <v>2.5132560000000002</v>
      </c>
      <c r="AA21" s="5">
        <f>AA25*$H$26</f>
        <v>2.8274130000000004</v>
      </c>
      <c r="AB21" s="5">
        <f>AB25*$H$26</f>
        <v>3.1415700000000002</v>
      </c>
    </row>
    <row r="22" spans="1:28" x14ac:dyDescent="0.25">
      <c r="A22" s="7"/>
      <c r="B22" s="6" t="s">
        <v>2</v>
      </c>
      <c r="C22" s="6"/>
      <c r="D22" s="1" t="s">
        <v>1</v>
      </c>
      <c r="E22" s="1" t="s">
        <v>0</v>
      </c>
      <c r="F22" s="5"/>
      <c r="G22" s="5"/>
      <c r="H22" s="5">
        <v>-0.3</v>
      </c>
      <c r="I22" s="1">
        <v>-0.27300000000000002</v>
      </c>
      <c r="J22" s="1">
        <v>-0.24360000000000001</v>
      </c>
      <c r="K22" s="1">
        <v>-0.2112</v>
      </c>
      <c r="L22" s="1">
        <v>-0.17780000000000001</v>
      </c>
      <c r="M22" s="1">
        <v>-0.1462</v>
      </c>
      <c r="N22" s="1">
        <v>-0.1178</v>
      </c>
      <c r="O22" s="1">
        <v>-9.1200000000000003E-2</v>
      </c>
      <c r="P22" s="1">
        <v>-6.3600000000000004E-2</v>
      </c>
      <c r="Q22" s="1">
        <v>-3.3000000000000002E-2</v>
      </c>
      <c r="R22" s="1">
        <v>0</v>
      </c>
      <c r="S22" s="1">
        <v>3.3000000000000002E-2</v>
      </c>
      <c r="T22" s="1">
        <v>6.3600000000000004E-2</v>
      </c>
      <c r="U22" s="1">
        <v>9.1200000000000003E-2</v>
      </c>
      <c r="V22" s="1">
        <v>0.1178</v>
      </c>
      <c r="W22" s="1">
        <v>0.14630000000000001</v>
      </c>
      <c r="X22" s="1">
        <v>0.17780000000000001</v>
      </c>
      <c r="Y22" s="1">
        <v>0.2112</v>
      </c>
      <c r="Z22" s="1">
        <v>0.24360000000000001</v>
      </c>
      <c r="AA22" s="1">
        <v>0.27300000000000002</v>
      </c>
      <c r="AB22" s="1">
        <v>0.3</v>
      </c>
    </row>
    <row r="23" spans="1:28" x14ac:dyDescent="0.25">
      <c r="F23" s="4"/>
      <c r="G23" s="4"/>
      <c r="H23" s="4"/>
    </row>
    <row r="24" spans="1:28" x14ac:dyDescent="0.25">
      <c r="F24" s="4"/>
      <c r="G24" s="4"/>
      <c r="H24" s="4"/>
    </row>
    <row r="25" spans="1:28" x14ac:dyDescent="0.25">
      <c r="F25" s="4"/>
      <c r="G25" s="4"/>
      <c r="H25" s="5">
        <v>-180</v>
      </c>
      <c r="I25" s="1">
        <v>-162</v>
      </c>
      <c r="J25" s="1">
        <v>-144</v>
      </c>
      <c r="K25" s="1">
        <v>-126</v>
      </c>
      <c r="L25" s="1">
        <v>-108</v>
      </c>
      <c r="M25" s="1">
        <v>-90</v>
      </c>
      <c r="N25" s="1">
        <v>-72</v>
      </c>
      <c r="O25" s="1">
        <v>-54</v>
      </c>
      <c r="P25" s="1">
        <v>-36</v>
      </c>
      <c r="Q25" s="1">
        <v>-18</v>
      </c>
      <c r="R25" s="1">
        <v>0</v>
      </c>
      <c r="S25" s="1">
        <v>18</v>
      </c>
      <c r="T25" s="1">
        <v>36</v>
      </c>
      <c r="U25" s="1">
        <v>54</v>
      </c>
      <c r="V25" s="1">
        <v>72</v>
      </c>
      <c r="W25" s="1">
        <v>90</v>
      </c>
      <c r="X25" s="1">
        <v>108</v>
      </c>
      <c r="Y25" s="1">
        <v>126</v>
      </c>
      <c r="Z25" s="1">
        <v>144</v>
      </c>
      <c r="AA25" s="1">
        <v>162</v>
      </c>
      <c r="AB25" s="1">
        <v>180</v>
      </c>
    </row>
    <row r="26" spans="1:28" x14ac:dyDescent="0.25">
      <c r="H26" s="1">
        <f>3.14157/180</f>
        <v>1.7453166666666669E-2</v>
      </c>
    </row>
    <row r="27" spans="1:28" x14ac:dyDescent="0.25">
      <c r="F27" s="4"/>
      <c r="G27" s="4"/>
      <c r="H27" s="4"/>
    </row>
    <row r="28" spans="1:28" x14ac:dyDescent="0.25">
      <c r="F28" s="4"/>
      <c r="G28" s="4"/>
      <c r="H28" s="4"/>
    </row>
    <row r="29" spans="1:28" x14ac:dyDescent="0.25">
      <c r="F29" s="4"/>
      <c r="G29" s="4"/>
      <c r="H29" s="4"/>
    </row>
    <row r="30" spans="1:28" x14ac:dyDescent="0.25">
      <c r="F30" s="4"/>
      <c r="G30" s="4"/>
      <c r="H30" s="4"/>
    </row>
    <row r="31" spans="1:28" x14ac:dyDescent="0.25">
      <c r="F31" s="4"/>
      <c r="G31" s="4"/>
      <c r="H31" s="4"/>
    </row>
    <row r="32" spans="1:28" x14ac:dyDescent="0.25">
      <c r="F32" s="4"/>
      <c r="G32" s="4"/>
      <c r="H32" s="4"/>
    </row>
    <row r="33" spans="2:8" x14ac:dyDescent="0.25">
      <c r="B33" s="2"/>
      <c r="F33" s="4"/>
      <c r="G33" s="4"/>
      <c r="H33" s="4"/>
    </row>
    <row r="34" spans="2:8" x14ac:dyDescent="0.25">
      <c r="B34" s="2"/>
      <c r="F34" s="4"/>
      <c r="G34" s="4"/>
      <c r="H34" s="4"/>
    </row>
    <row r="35" spans="2:8" x14ac:dyDescent="0.25">
      <c r="F35" s="4"/>
      <c r="G35" s="4"/>
      <c r="H35" s="4"/>
    </row>
    <row r="36" spans="2:8" x14ac:dyDescent="0.25">
      <c r="F36" s="4"/>
      <c r="G36" s="4"/>
      <c r="H36" s="4"/>
    </row>
    <row r="37" spans="2:8" x14ac:dyDescent="0.25">
      <c r="B37" s="2"/>
      <c r="H37" s="3"/>
    </row>
    <row r="38" spans="2:8" x14ac:dyDescent="0.25">
      <c r="B38" s="2"/>
      <c r="H38" s="3"/>
    </row>
  </sheetData>
  <conditionalFormatting sqref="A37:A38">
    <cfRule type="cellIs" dxfId="3" priority="3" operator="equal">
      <formula>"class"</formula>
    </cfRule>
  </conditionalFormatting>
  <conditionalFormatting sqref="A4:B22">
    <cfRule type="cellIs" dxfId="2" priority="2" operator="equal">
      <formula>"class"</formula>
    </cfRule>
  </conditionalFormatting>
  <conditionalFormatting sqref="A33:B36">
    <cfRule type="cellIs" dxfId="1" priority="4" operator="equal">
      <formula>"class"</formula>
    </cfRule>
  </conditionalFormatting>
  <conditionalFormatting sqref="E5 E7:E22">
    <cfRule type="cellIs" dxfId="0" priority="1" operator="equal">
      <formula>"class"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RStaticShafts_HambaLG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Steve Miller</dc:creator>
  <cp:lastModifiedBy>Steve Miller</cp:lastModifiedBy>
  <dcterms:created xsi:type="dcterms:W3CDTF">2025-10-25T19:26:07Z</dcterms:created>
  <dcterms:modified xsi:type="dcterms:W3CDTF">2025-10-25T19:27:36Z</dcterms:modified>
</cp:coreProperties>
</file>