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teer\Rack\"/>
    </mc:Choice>
  </mc:AlternateContent>
  <xr:revisionPtr revIDLastSave="0" documentId="13_ncr:1_{62856F70-F767-44FD-B149-750462E7894E}" xr6:coauthVersionLast="47" xr6:coauthVersionMax="47" xr10:uidLastSave="{00000000-0000-0000-0000-000000000000}"/>
  <bookViews>
    <workbookView xWindow="6330" yWindow="2205" windowWidth="21600" windowHeight="11295" tabRatio="940" xr2:uid="{3FA59F9D-D9D3-4E28-B3CE-9BFC80E89258}"/>
  </bookViews>
  <sheets>
    <sheet name="RWheel_Hamba_f" sheetId="7" r:id="rId1"/>
    <sheet name="RWheel_HambaLG_f" sheetId="8" r:id="rId2"/>
    <sheet name="RWheel_Bus_Makhulu_f" sheetId="6" r:id="rId3"/>
    <sheet name="RWheel_SUVLandy_f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9" l="1"/>
  <c r="W14" i="9" s="1"/>
  <c r="H18" i="9"/>
  <c r="Z15" i="9" s="1"/>
  <c r="AA15" i="9"/>
  <c r="AA14" i="9"/>
  <c r="Z14" i="9"/>
  <c r="Y14" i="9"/>
  <c r="X14" i="9"/>
  <c r="G6" i="9"/>
  <c r="AB15" i="9" l="1"/>
  <c r="AB14" i="9"/>
  <c r="H15" i="9"/>
  <c r="I15" i="9"/>
  <c r="J15" i="9"/>
  <c r="H14" i="9"/>
  <c r="K15" i="9"/>
  <c r="I14" i="9"/>
  <c r="L15" i="9"/>
  <c r="J14" i="9"/>
  <c r="M15" i="9"/>
  <c r="K14" i="9"/>
  <c r="N15" i="9"/>
  <c r="L14" i="9"/>
  <c r="O15" i="9"/>
  <c r="M14" i="9"/>
  <c r="P15" i="9"/>
  <c r="N14" i="9"/>
  <c r="Q15" i="9"/>
  <c r="O14" i="9"/>
  <c r="R15" i="9"/>
  <c r="P14" i="9"/>
  <c r="S15" i="9"/>
  <c r="Q14" i="9"/>
  <c r="T15" i="9"/>
  <c r="R14" i="9"/>
  <c r="U15" i="9"/>
  <c r="S14" i="9"/>
  <c r="V15" i="9"/>
  <c r="T14" i="9"/>
  <c r="W15" i="9"/>
  <c r="U14" i="9"/>
  <c r="X15" i="9"/>
  <c r="V14" i="9"/>
  <c r="Y15" i="9"/>
  <c r="H20" i="8" l="1"/>
  <c r="H18" i="8"/>
  <c r="AA15" i="8" s="1"/>
  <c r="M15" i="8"/>
  <c r="L15" i="8"/>
  <c r="K15" i="8"/>
  <c r="J15" i="8"/>
  <c r="I15" i="8"/>
  <c r="H15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V15" i="8" l="1"/>
  <c r="X15" i="8"/>
  <c r="Y15" i="8"/>
  <c r="Z15" i="8"/>
  <c r="AB15" i="8"/>
  <c r="N15" i="8"/>
  <c r="P15" i="8"/>
  <c r="Q15" i="8"/>
  <c r="R15" i="8"/>
  <c r="T15" i="8"/>
  <c r="U15" i="8"/>
  <c r="O15" i="8"/>
  <c r="S15" i="8"/>
  <c r="W15" i="8"/>
  <c r="U15" i="7"/>
  <c r="H18" i="7"/>
  <c r="AA15" i="7" s="1"/>
  <c r="M29" i="7"/>
  <c r="L29" i="7"/>
  <c r="K29" i="7"/>
  <c r="M26" i="7"/>
  <c r="L26" i="7"/>
  <c r="K26" i="7"/>
  <c r="I24" i="7"/>
  <c r="H20" i="7"/>
  <c r="AB14" i="7" s="1"/>
  <c r="I15" i="7" l="1"/>
  <c r="Q15" i="7"/>
  <c r="R15" i="7"/>
  <c r="T15" i="7"/>
  <c r="I14" i="7"/>
  <c r="M14" i="7"/>
  <c r="N15" i="7"/>
  <c r="P15" i="7"/>
  <c r="Q14" i="7"/>
  <c r="J15" i="7"/>
  <c r="AB15" i="7"/>
  <c r="H15" i="7"/>
  <c r="X15" i="7"/>
  <c r="L15" i="7"/>
  <c r="V15" i="7"/>
  <c r="Y15" i="7"/>
  <c r="M15" i="7"/>
  <c r="Z15" i="7"/>
  <c r="K15" i="7"/>
  <c r="O15" i="7"/>
  <c r="S15" i="7"/>
  <c r="W15" i="7"/>
  <c r="U14" i="7"/>
  <c r="J14" i="7"/>
  <c r="N14" i="7"/>
  <c r="R14" i="7"/>
  <c r="V14" i="7"/>
  <c r="Z14" i="7"/>
  <c r="K14" i="7"/>
  <c r="O14" i="7"/>
  <c r="S14" i="7"/>
  <c r="W14" i="7"/>
  <c r="AA14" i="7"/>
  <c r="Y14" i="7"/>
  <c r="H14" i="7"/>
  <c r="L14" i="7"/>
  <c r="P14" i="7"/>
  <c r="T14" i="7"/>
  <c r="X14" i="7"/>
  <c r="H19" i="6" l="1"/>
  <c r="Z14" i="6" s="1"/>
  <c r="AB14" i="6"/>
  <c r="AA14" i="6"/>
  <c r="Y14" i="6"/>
  <c r="X14" i="6"/>
  <c r="W14" i="6"/>
  <c r="U14" i="6"/>
  <c r="T14" i="6"/>
  <c r="S14" i="6"/>
  <c r="Q14" i="6"/>
  <c r="P14" i="6"/>
  <c r="O14" i="6"/>
  <c r="M14" i="6"/>
  <c r="L14" i="6"/>
  <c r="K14" i="6"/>
  <c r="I14" i="6"/>
  <c r="H14" i="6"/>
  <c r="J14" i="6" l="1"/>
  <c r="N14" i="6"/>
  <c r="R14" i="6"/>
  <c r="V14" i="6"/>
</calcChain>
</file>

<file path=xl/sharedStrings.xml><?xml version="1.0" encoding="utf-8"?>
<sst xmlns="http://schemas.openxmlformats.org/spreadsheetml/2006/main" count="176" uniqueCount="39">
  <si>
    <t>Units</t>
  </si>
  <si>
    <t>Comments</t>
  </si>
  <si>
    <t>x</t>
  </si>
  <si>
    <t>y</t>
  </si>
  <si>
    <t>z or scalar</t>
  </si>
  <si>
    <t>Type</t>
  </si>
  <si>
    <t>Steer</t>
  </si>
  <si>
    <t>Instance</t>
  </si>
  <si>
    <t>class</t>
  </si>
  <si>
    <t>Rack</t>
  </si>
  <si>
    <t>sMount</t>
  </si>
  <si>
    <t>m</t>
  </si>
  <si>
    <t>HPRack</t>
  </si>
  <si>
    <t>sOutboard</t>
  </si>
  <si>
    <t>kg</t>
  </si>
  <si>
    <t>Mass</t>
  </si>
  <si>
    <t>fActuatorCutoff</t>
  </si>
  <si>
    <t>Hz</t>
  </si>
  <si>
    <t>Ratio Table</t>
  </si>
  <si>
    <t>aWheel</t>
  </si>
  <si>
    <t>rad</t>
  </si>
  <si>
    <t>Wheel Angle</t>
  </si>
  <si>
    <t>xRack</t>
  </si>
  <si>
    <t>Rack Displacement</t>
  </si>
  <si>
    <t>Wheel</t>
  </si>
  <si>
    <t>aAxis</t>
  </si>
  <si>
    <t>RackWheel</t>
  </si>
  <si>
    <t>RackWheel_Sedan_Hamba_f</t>
  </si>
  <si>
    <t>RackWheel_Sedan_HambaLG_f</t>
  </si>
  <si>
    <t>RackWheel_Bus_Makhulu_f</t>
  </si>
  <si>
    <t>[-1.0213531220517 0.376755175037545 0.923261538853403]</t>
  </si>
  <si>
    <t>Hamba orig</t>
  </si>
  <si>
    <t>LG orig</t>
  </si>
  <si>
    <t>Bus Makhulu orig</t>
  </si>
  <si>
    <t>Sedan</t>
  </si>
  <si>
    <t>Must  be consistent with linkage trackrod inboard point</t>
  </si>
  <si>
    <t>RackWheel_SUV_Landy_f</t>
  </si>
  <si>
    <t>d</t>
  </si>
  <si>
    <t>N/(m/s)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</si>
</sst>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2" fillId="0" borderId="0" xfId="0" applyFont="1"/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164" fontId="0" fillId="0" borderId="0" xfId="0" applyNumberFormat="1"/>
    <xf numFmtId="1" fontId="2" fillId="0" borderId="0" xfId="0" applyNumberFormat="1" applyFont="1"/>
    <xf numFmtId="1" fontId="0" fillId="0" borderId="0" xfId="0" applyNumberFormat="1"/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2" fontId="2" fillId="5" borderId="0" xfId="0" applyNumberFormat="1" applyFont="1" applyFill="1"/>
  </cellXfs>
  <cellStyles count="1">
    <cellStyle name="Normal" xfId="0" builtinId="0"/>
  </cellStyles>
  <dxfs count="2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41EB-00BD-4D32-9768-361F74323707}">
  <sheetPr>
    <tabColor theme="8" tint="-0.249977111117893"/>
  </sheetPr>
  <dimension ref="A1:AB31"/>
  <sheetViews>
    <sheetView tabSelected="1" workbookViewId="0">
      <pane xSplit="3" ySplit="1" topLeftCell="D2" activePane="bottomRight" state="frozen"/>
      <selection activeCell="F21" sqref="F21"/>
      <selection pane="topRight" activeCell="F21" sqref="F21"/>
      <selection pane="bottomLeft" activeCell="F21" sqref="F21"/>
      <selection pane="bottomRight" activeCell="A8" sqref="A8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28" width="7.28515625" customWidth="1"/>
  </cols>
  <sheetData>
    <row r="1" spans="1:2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2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28" x14ac:dyDescent="0.25">
      <c r="A3" s="4" t="s">
        <v>7</v>
      </c>
      <c r="B3" s="5"/>
      <c r="C3" s="5"/>
      <c r="F3" s="6"/>
      <c r="G3" s="6"/>
      <c r="H3" s="7" t="s">
        <v>27</v>
      </c>
    </row>
    <row r="4" spans="1:28" x14ac:dyDescent="0.25">
      <c r="A4" s="4" t="s">
        <v>8</v>
      </c>
      <c r="B4" s="8"/>
      <c r="C4" s="8"/>
      <c r="D4" s="8"/>
      <c r="E4" s="8"/>
      <c r="F4" s="9"/>
      <c r="G4" s="9"/>
      <c r="H4" s="10" t="s">
        <v>26</v>
      </c>
    </row>
    <row r="5" spans="1:28" x14ac:dyDescent="0.25">
      <c r="A5" s="4" t="s">
        <v>9</v>
      </c>
      <c r="B5" s="5" t="s">
        <v>10</v>
      </c>
      <c r="C5" s="5"/>
      <c r="D5" t="s">
        <v>11</v>
      </c>
      <c r="E5" t="s">
        <v>12</v>
      </c>
      <c r="F5" s="6">
        <v>0.13708300000000001</v>
      </c>
      <c r="G5" s="11">
        <v>0</v>
      </c>
      <c r="H5" s="6">
        <v>0.20499999999999999</v>
      </c>
    </row>
    <row r="6" spans="1:28" x14ac:dyDescent="0.25">
      <c r="A6" s="4"/>
      <c r="B6" s="12" t="s">
        <v>13</v>
      </c>
      <c r="C6" s="5"/>
      <c r="D6" t="s">
        <v>11</v>
      </c>
      <c r="E6" t="s">
        <v>35</v>
      </c>
      <c r="F6" s="23">
        <v>0.13708300000000001</v>
      </c>
      <c r="G6" s="23">
        <v>0.439</v>
      </c>
      <c r="H6" s="23">
        <v>0.20499999999999999</v>
      </c>
      <c r="J6" s="12" t="s">
        <v>35</v>
      </c>
    </row>
    <row r="7" spans="1:28" x14ac:dyDescent="0.25">
      <c r="A7" s="4"/>
      <c r="B7" s="5" t="s">
        <v>11</v>
      </c>
      <c r="C7" s="5"/>
      <c r="D7" t="s">
        <v>14</v>
      </c>
      <c r="E7" t="s">
        <v>15</v>
      </c>
      <c r="F7" s="11"/>
      <c r="G7" s="11"/>
      <c r="H7" s="11">
        <v>19.792000000000002</v>
      </c>
    </row>
    <row r="8" spans="1:28" x14ac:dyDescent="0.25">
      <c r="A8" s="4"/>
      <c r="B8" s="5" t="s">
        <v>37</v>
      </c>
      <c r="C8" s="5"/>
      <c r="D8" t="s">
        <v>38</v>
      </c>
      <c r="F8" s="11"/>
      <c r="G8" s="11"/>
      <c r="H8" s="11">
        <v>10</v>
      </c>
    </row>
    <row r="9" spans="1:28" x14ac:dyDescent="0.25">
      <c r="A9" s="4"/>
      <c r="B9" s="5" t="s">
        <v>16</v>
      </c>
      <c r="C9" s="5"/>
      <c r="D9" t="s">
        <v>17</v>
      </c>
      <c r="F9" s="11"/>
      <c r="G9" s="11"/>
      <c r="H9" s="11">
        <v>50</v>
      </c>
    </row>
    <row r="10" spans="1:28" x14ac:dyDescent="0.25">
      <c r="A10" s="4" t="s">
        <v>24</v>
      </c>
      <c r="B10" s="5" t="s">
        <v>10</v>
      </c>
      <c r="C10" s="5"/>
      <c r="D10" t="s">
        <v>11</v>
      </c>
      <c r="F10" s="11">
        <v>-1.0213531220517</v>
      </c>
      <c r="G10" s="11">
        <v>0.37675517503754502</v>
      </c>
      <c r="H10" s="11">
        <v>0.92326153885340301</v>
      </c>
      <c r="K10" t="s">
        <v>30</v>
      </c>
    </row>
    <row r="11" spans="1:28" x14ac:dyDescent="0.25">
      <c r="A11" s="4"/>
      <c r="B11" s="5" t="s">
        <v>25</v>
      </c>
      <c r="C11" s="5"/>
      <c r="D11" t="s">
        <v>20</v>
      </c>
      <c r="F11" s="11"/>
      <c r="G11" s="11"/>
      <c r="H11" s="11">
        <v>0.35289999999999999</v>
      </c>
    </row>
    <row r="12" spans="1:28" x14ac:dyDescent="0.25">
      <c r="A12" s="4"/>
      <c r="B12" s="5" t="s">
        <v>11</v>
      </c>
      <c r="C12" s="5"/>
      <c r="D12" t="s">
        <v>14</v>
      </c>
      <c r="E12" t="s">
        <v>15</v>
      </c>
      <c r="F12" s="11"/>
      <c r="G12" s="11"/>
      <c r="H12" s="11">
        <v>1</v>
      </c>
    </row>
    <row r="13" spans="1:28" x14ac:dyDescent="0.25">
      <c r="A13" s="4"/>
      <c r="B13" s="5" t="s">
        <v>8</v>
      </c>
      <c r="C13" s="5"/>
      <c r="F13" s="11"/>
      <c r="G13" s="11"/>
      <c r="H13" s="22" t="s">
        <v>34</v>
      </c>
    </row>
    <row r="14" spans="1:28" x14ac:dyDescent="0.25">
      <c r="A14" s="4" t="s">
        <v>18</v>
      </c>
      <c r="B14" s="5" t="s">
        <v>19</v>
      </c>
      <c r="C14" s="5"/>
      <c r="D14" t="s">
        <v>20</v>
      </c>
      <c r="E14" t="s">
        <v>21</v>
      </c>
      <c r="F14" s="11"/>
      <c r="G14" s="11"/>
      <c r="H14" s="17">
        <f t="shared" ref="H14:AB14" si="0">H19*$H$20</f>
        <v>-3.1415700000000002</v>
      </c>
      <c r="I14" s="17">
        <f t="shared" si="0"/>
        <v>-2.8274130000000004</v>
      </c>
      <c r="J14" s="17">
        <f t="shared" si="0"/>
        <v>-2.5132560000000002</v>
      </c>
      <c r="K14" s="17">
        <f t="shared" si="0"/>
        <v>-2.1990990000000004</v>
      </c>
      <c r="L14" s="17">
        <f t="shared" si="0"/>
        <v>-1.8849420000000003</v>
      </c>
      <c r="M14" s="17">
        <f t="shared" si="0"/>
        <v>-1.5707850000000001</v>
      </c>
      <c r="N14" s="17">
        <f t="shared" si="0"/>
        <v>-1.2566280000000001</v>
      </c>
      <c r="O14" s="17">
        <f t="shared" si="0"/>
        <v>-0.94247100000000017</v>
      </c>
      <c r="P14" s="17">
        <f t="shared" si="0"/>
        <v>-0.62831400000000004</v>
      </c>
      <c r="Q14" s="17">
        <f t="shared" si="0"/>
        <v>-0.31415700000000002</v>
      </c>
      <c r="R14" s="21">
        <f t="shared" si="0"/>
        <v>0</v>
      </c>
      <c r="S14" s="17">
        <f t="shared" si="0"/>
        <v>0.31415700000000002</v>
      </c>
      <c r="T14" s="17">
        <f t="shared" si="0"/>
        <v>0.62831400000000004</v>
      </c>
      <c r="U14" s="17">
        <f t="shared" si="0"/>
        <v>0.94247100000000017</v>
      </c>
      <c r="V14" s="17">
        <f t="shared" si="0"/>
        <v>1.2566280000000001</v>
      </c>
      <c r="W14" s="17">
        <f t="shared" si="0"/>
        <v>1.5707850000000001</v>
      </c>
      <c r="X14" s="17">
        <f t="shared" si="0"/>
        <v>1.8849420000000003</v>
      </c>
      <c r="Y14" s="17">
        <f t="shared" si="0"/>
        <v>2.1990990000000004</v>
      </c>
      <c r="Z14" s="17">
        <f t="shared" si="0"/>
        <v>2.5132560000000002</v>
      </c>
      <c r="AA14" s="17">
        <f t="shared" si="0"/>
        <v>2.8274130000000004</v>
      </c>
      <c r="AB14" s="17">
        <f t="shared" si="0"/>
        <v>3.1415700000000002</v>
      </c>
    </row>
    <row r="15" spans="1:28" x14ac:dyDescent="0.25">
      <c r="A15" s="4"/>
      <c r="B15" s="5" t="s">
        <v>22</v>
      </c>
      <c r="C15" s="5"/>
      <c r="D15" t="s">
        <v>11</v>
      </c>
      <c r="E15" t="s">
        <v>23</v>
      </c>
      <c r="F15" s="11"/>
      <c r="G15" s="11"/>
      <c r="H15" s="16">
        <f>H17*$H$18</f>
        <v>-0.18</v>
      </c>
      <c r="I15" s="16">
        <f t="shared" ref="I15:AB15" si="1">I17*$H$18</f>
        <v>-0.1638</v>
      </c>
      <c r="J15" s="16">
        <f t="shared" si="1"/>
        <v>-0.14616000000000001</v>
      </c>
      <c r="K15" s="16">
        <f t="shared" si="1"/>
        <v>-0.12672</v>
      </c>
      <c r="L15" s="16">
        <f t="shared" si="1"/>
        <v>-0.10668000000000001</v>
      </c>
      <c r="M15" s="16">
        <f t="shared" si="1"/>
        <v>-8.7719999999999992E-2</v>
      </c>
      <c r="N15" s="16">
        <f t="shared" si="1"/>
        <v>-7.0679999999999993E-2</v>
      </c>
      <c r="O15" s="16">
        <f t="shared" si="1"/>
        <v>-5.4719999999999998E-2</v>
      </c>
      <c r="P15" s="16">
        <f t="shared" si="1"/>
        <v>-3.8159999999999999E-2</v>
      </c>
      <c r="Q15" s="16">
        <f t="shared" si="1"/>
        <v>-1.9800000000000002E-2</v>
      </c>
      <c r="R15" s="19">
        <f t="shared" si="1"/>
        <v>0</v>
      </c>
      <c r="S15" s="16">
        <f t="shared" si="1"/>
        <v>1.9800000000000002E-2</v>
      </c>
      <c r="T15" s="16">
        <f t="shared" si="1"/>
        <v>3.8159999999999999E-2</v>
      </c>
      <c r="U15" s="16">
        <f t="shared" si="1"/>
        <v>5.4719999999999998E-2</v>
      </c>
      <c r="V15" s="16">
        <f t="shared" si="1"/>
        <v>7.0679999999999993E-2</v>
      </c>
      <c r="W15" s="16">
        <f t="shared" si="1"/>
        <v>8.7780000000000011E-2</v>
      </c>
      <c r="X15" s="16">
        <f t="shared" si="1"/>
        <v>0.10668000000000001</v>
      </c>
      <c r="Y15" s="16">
        <f t="shared" si="1"/>
        <v>0.12672</v>
      </c>
      <c r="Z15" s="16">
        <f t="shared" si="1"/>
        <v>0.14616000000000001</v>
      </c>
      <c r="AA15" s="16">
        <f t="shared" si="1"/>
        <v>0.1638</v>
      </c>
      <c r="AB15" s="16">
        <f t="shared" si="1"/>
        <v>0.18</v>
      </c>
    </row>
    <row r="16" spans="1:28" x14ac:dyDescent="0.25">
      <c r="F16" s="6"/>
      <c r="G16" s="6"/>
      <c r="H16" s="6"/>
    </row>
    <row r="17" spans="2:28" x14ac:dyDescent="0.25">
      <c r="F17" s="6"/>
      <c r="G17" s="6"/>
      <c r="H17" s="11">
        <v>-0.3</v>
      </c>
      <c r="I17">
        <v>-0.27300000000000002</v>
      </c>
      <c r="J17">
        <v>-0.24360000000000001</v>
      </c>
      <c r="K17">
        <v>-0.2112</v>
      </c>
      <c r="L17">
        <v>-0.17780000000000001</v>
      </c>
      <c r="M17">
        <v>-0.1462</v>
      </c>
      <c r="N17">
        <v>-0.1178</v>
      </c>
      <c r="O17">
        <v>-9.1200000000000003E-2</v>
      </c>
      <c r="P17">
        <v>-6.3600000000000004E-2</v>
      </c>
      <c r="Q17">
        <v>-3.3000000000000002E-2</v>
      </c>
      <c r="R17">
        <v>0</v>
      </c>
      <c r="S17">
        <v>3.3000000000000002E-2</v>
      </c>
      <c r="T17">
        <v>6.3600000000000004E-2</v>
      </c>
      <c r="U17">
        <v>9.1200000000000003E-2</v>
      </c>
      <c r="V17">
        <v>0.1178</v>
      </c>
      <c r="W17">
        <v>0.14630000000000001</v>
      </c>
      <c r="X17">
        <v>0.17780000000000001</v>
      </c>
      <c r="Y17">
        <v>0.2112</v>
      </c>
      <c r="Z17">
        <v>0.24360000000000001</v>
      </c>
      <c r="AA17">
        <v>0.27300000000000002</v>
      </c>
      <c r="AB17">
        <v>0.3</v>
      </c>
    </row>
    <row r="18" spans="2:28" x14ac:dyDescent="0.25">
      <c r="F18" s="6"/>
      <c r="G18" s="6"/>
      <c r="H18">
        <f>0.6</f>
        <v>0.6</v>
      </c>
    </row>
    <row r="19" spans="2:28" x14ac:dyDescent="0.25">
      <c r="H19" s="11">
        <v>-180</v>
      </c>
      <c r="I19">
        <v>-162</v>
      </c>
      <c r="J19">
        <v>-144</v>
      </c>
      <c r="K19">
        <v>-126</v>
      </c>
      <c r="L19">
        <v>-108</v>
      </c>
      <c r="M19">
        <v>-90</v>
      </c>
      <c r="N19">
        <v>-72</v>
      </c>
      <c r="O19">
        <v>-54</v>
      </c>
      <c r="P19">
        <v>-36</v>
      </c>
      <c r="Q19">
        <v>-18</v>
      </c>
      <c r="R19">
        <v>0</v>
      </c>
      <c r="S19">
        <v>18</v>
      </c>
      <c r="T19">
        <v>36</v>
      </c>
      <c r="U19">
        <v>54</v>
      </c>
      <c r="V19">
        <v>72</v>
      </c>
      <c r="W19">
        <v>90</v>
      </c>
      <c r="X19">
        <v>108</v>
      </c>
      <c r="Y19">
        <v>126</v>
      </c>
      <c r="Z19">
        <v>144</v>
      </c>
      <c r="AA19">
        <v>162</v>
      </c>
      <c r="AB19">
        <v>180</v>
      </c>
    </row>
    <row r="20" spans="2:28" x14ac:dyDescent="0.25">
      <c r="F20" s="6"/>
      <c r="G20" s="6"/>
      <c r="H20">
        <f>3.14157/180</f>
        <v>1.7453166666666669E-2</v>
      </c>
    </row>
    <row r="21" spans="2:28" x14ac:dyDescent="0.25">
      <c r="F21" s="6"/>
      <c r="G21" s="6"/>
      <c r="H21" s="6"/>
    </row>
    <row r="22" spans="2:28" x14ac:dyDescent="0.25">
      <c r="F22" s="6"/>
      <c r="G22" s="6"/>
      <c r="H22" s="6"/>
      <c r="I22">
        <v>5</v>
      </c>
      <c r="K22" s="6">
        <v>-1.0213531220517</v>
      </c>
      <c r="L22" s="6">
        <v>0.37675517503754502</v>
      </c>
      <c r="M22" s="6">
        <v>0.92326153885340301</v>
      </c>
      <c r="N22" t="s">
        <v>31</v>
      </c>
    </row>
    <row r="23" spans="2:28" x14ac:dyDescent="0.25">
      <c r="F23" s="6"/>
      <c r="G23" s="6"/>
      <c r="H23" s="6"/>
      <c r="I23">
        <v>4</v>
      </c>
      <c r="K23" s="15">
        <v>-0.91420000000000001</v>
      </c>
      <c r="L23" s="15">
        <v>0.3755</v>
      </c>
      <c r="M23" s="15">
        <v>0.85660000000000003</v>
      </c>
    </row>
    <row r="24" spans="2:28" x14ac:dyDescent="0.25">
      <c r="F24" s="6"/>
      <c r="G24" s="6"/>
      <c r="H24" s="6"/>
      <c r="I24">
        <f>I22-I23</f>
        <v>1</v>
      </c>
      <c r="L24" s="15"/>
      <c r="M24" s="15"/>
    </row>
    <row r="25" spans="2:28" x14ac:dyDescent="0.25">
      <c r="F25" s="6"/>
      <c r="G25" s="6"/>
      <c r="H25" s="6"/>
      <c r="K25" s="6">
        <v>-1.2171799999999999</v>
      </c>
      <c r="L25" s="6">
        <v>0.45050000000000001</v>
      </c>
      <c r="M25" s="6">
        <v>0.82255</v>
      </c>
      <c r="N25" t="s">
        <v>32</v>
      </c>
    </row>
    <row r="26" spans="2:28" x14ac:dyDescent="0.25">
      <c r="B26" s="13"/>
      <c r="F26" s="6"/>
      <c r="G26" s="6"/>
      <c r="H26" s="6"/>
      <c r="K26" s="6">
        <f>K25+K22-K23</f>
        <v>-1.3243331220516996</v>
      </c>
      <c r="L26" s="6">
        <f>L25+L22-L23</f>
        <v>0.45175517503754498</v>
      </c>
      <c r="M26" s="6">
        <f>M25+M22-M23</f>
        <v>0.88921153885340298</v>
      </c>
    </row>
    <row r="27" spans="2:28" x14ac:dyDescent="0.25">
      <c r="B27" s="13"/>
      <c r="F27" s="6"/>
      <c r="G27" s="6"/>
      <c r="H27" s="6"/>
    </row>
    <row r="28" spans="2:28" x14ac:dyDescent="0.25">
      <c r="F28" s="6"/>
      <c r="G28" s="6"/>
      <c r="H28" s="6"/>
      <c r="K28" s="11">
        <v>1.2710307999999999</v>
      </c>
      <c r="L28" s="11">
        <v>0.55801000000000001</v>
      </c>
      <c r="M28" s="11">
        <v>1.2685808000000001</v>
      </c>
      <c r="N28" t="s">
        <v>33</v>
      </c>
    </row>
    <row r="29" spans="2:28" x14ac:dyDescent="0.25">
      <c r="F29" s="6"/>
      <c r="G29" s="6"/>
      <c r="H29" s="6"/>
      <c r="K29" s="15">
        <f>K28+K22-K23</f>
        <v>1.1638776779483</v>
      </c>
      <c r="L29" s="15">
        <f>L28+L22-L23</f>
        <v>0.55926517503754503</v>
      </c>
      <c r="M29" s="15">
        <f>M28+M22-M23</f>
        <v>1.3352423388534029</v>
      </c>
    </row>
    <row r="30" spans="2:28" x14ac:dyDescent="0.25">
      <c r="B30" s="13"/>
      <c r="H30" s="14"/>
    </row>
    <row r="31" spans="2:28" x14ac:dyDescent="0.25">
      <c r="B31" s="13"/>
      <c r="H31" s="14"/>
    </row>
  </sheetData>
  <conditionalFormatting sqref="A30:A31">
    <cfRule type="cellIs" dxfId="23" priority="8" operator="equal">
      <formula>"class"</formula>
    </cfRule>
  </conditionalFormatting>
  <conditionalFormatting sqref="A4:B7 A9:B15">
    <cfRule type="cellIs" dxfId="22" priority="4" operator="equal">
      <formula>"class"</formula>
    </cfRule>
  </conditionalFormatting>
  <conditionalFormatting sqref="A26:B29">
    <cfRule type="cellIs" dxfId="21" priority="10" operator="equal">
      <formula>"class"</formula>
    </cfRule>
  </conditionalFormatting>
  <conditionalFormatting sqref="E5 E7 E9:E15">
    <cfRule type="cellIs" dxfId="20" priority="3" operator="equal">
      <formula>"class"</formula>
    </cfRule>
  </conditionalFormatting>
  <conditionalFormatting sqref="A8:B8">
    <cfRule type="cellIs" dxfId="19" priority="2" operator="equal">
      <formula>"class"</formula>
    </cfRule>
  </conditionalFormatting>
  <conditionalFormatting sqref="E8">
    <cfRule type="cellIs" dxfId="18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8FA9-0BFE-404C-A393-1326355D2D0C}">
  <sheetPr>
    <tabColor theme="8" tint="-0.249977111117893"/>
  </sheetPr>
  <dimension ref="A1:AB31"/>
  <sheetViews>
    <sheetView workbookViewId="0">
      <pane xSplit="3" ySplit="1" topLeftCell="D2" activePane="bottomRight" state="frozen"/>
      <selection activeCell="S33" sqref="S33"/>
      <selection pane="topRight" activeCell="S33" sqref="S33"/>
      <selection pane="bottomLeft" activeCell="S33" sqref="S33"/>
      <selection pane="bottomRight" activeCell="A8" sqref="A8:XFD8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28" width="7.28515625" customWidth="1"/>
  </cols>
  <sheetData>
    <row r="1" spans="1:2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2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28" x14ac:dyDescent="0.25">
      <c r="A3" s="4" t="s">
        <v>7</v>
      </c>
      <c r="B3" s="5"/>
      <c r="C3" s="5"/>
      <c r="F3" s="6"/>
      <c r="G3" s="6"/>
      <c r="H3" s="7" t="s">
        <v>28</v>
      </c>
    </row>
    <row r="4" spans="1:28" x14ac:dyDescent="0.25">
      <c r="A4" s="4" t="s">
        <v>8</v>
      </c>
      <c r="B4" s="8"/>
      <c r="C4" s="8"/>
      <c r="D4" s="8"/>
      <c r="E4" s="8"/>
      <c r="F4" s="9"/>
      <c r="G4" s="9"/>
      <c r="H4" s="10" t="s">
        <v>26</v>
      </c>
    </row>
    <row r="5" spans="1:28" x14ac:dyDescent="0.25">
      <c r="A5" s="4" t="s">
        <v>9</v>
      </c>
      <c r="B5" s="5" t="s">
        <v>10</v>
      </c>
      <c r="C5" s="5"/>
      <c r="D5" t="s">
        <v>11</v>
      </c>
      <c r="E5" t="s">
        <v>12</v>
      </c>
      <c r="F5" s="6">
        <v>0.15379999999999999</v>
      </c>
      <c r="G5" s="11">
        <v>0</v>
      </c>
      <c r="H5" s="6">
        <v>0.24</v>
      </c>
    </row>
    <row r="6" spans="1:28" x14ac:dyDescent="0.25">
      <c r="A6" s="4"/>
      <c r="B6" s="12" t="s">
        <v>13</v>
      </c>
      <c r="C6" s="5"/>
      <c r="D6" t="s">
        <v>11</v>
      </c>
      <c r="E6" t="s">
        <v>35</v>
      </c>
      <c r="F6" s="23">
        <v>0.15379999999999999</v>
      </c>
      <c r="G6" s="23">
        <v>0.65</v>
      </c>
      <c r="H6" s="23">
        <v>0.24</v>
      </c>
      <c r="J6" s="12" t="s">
        <v>35</v>
      </c>
    </row>
    <row r="7" spans="1:28" x14ac:dyDescent="0.25">
      <c r="A7" s="4"/>
      <c r="B7" s="5" t="s">
        <v>11</v>
      </c>
      <c r="C7" s="5"/>
      <c r="D7" t="s">
        <v>14</v>
      </c>
      <c r="E7" t="s">
        <v>15</v>
      </c>
      <c r="F7" s="11"/>
      <c r="G7" s="11"/>
      <c r="H7" s="11">
        <v>19.792000000000002</v>
      </c>
    </row>
    <row r="8" spans="1:28" x14ac:dyDescent="0.25">
      <c r="A8" s="4"/>
      <c r="B8" s="5" t="s">
        <v>37</v>
      </c>
      <c r="C8" s="5"/>
      <c r="D8" t="s">
        <v>38</v>
      </c>
      <c r="F8" s="11"/>
      <c r="G8" s="11"/>
      <c r="H8" s="11">
        <v>10</v>
      </c>
    </row>
    <row r="9" spans="1:28" x14ac:dyDescent="0.25">
      <c r="A9" s="4"/>
      <c r="B9" s="5" t="s">
        <v>16</v>
      </c>
      <c r="C9" s="5"/>
      <c r="D9" t="s">
        <v>17</v>
      </c>
      <c r="F9" s="11"/>
      <c r="G9" s="11"/>
      <c r="H9" s="11">
        <v>50</v>
      </c>
    </row>
    <row r="10" spans="1:28" x14ac:dyDescent="0.25">
      <c r="A10" s="4" t="s">
        <v>24</v>
      </c>
      <c r="B10" s="5" t="s">
        <v>10</v>
      </c>
      <c r="C10" s="5"/>
      <c r="D10" t="s">
        <v>11</v>
      </c>
      <c r="F10" s="6">
        <v>-1.3243331220516996</v>
      </c>
      <c r="G10" s="6">
        <v>0.45175517503754498</v>
      </c>
      <c r="H10" s="6">
        <v>0.88921153885340298</v>
      </c>
    </row>
    <row r="11" spans="1:28" x14ac:dyDescent="0.25">
      <c r="A11" s="4"/>
      <c r="B11" s="5" t="s">
        <v>25</v>
      </c>
      <c r="C11" s="5"/>
      <c r="D11" t="s">
        <v>20</v>
      </c>
      <c r="F11" s="11"/>
      <c r="G11" s="11"/>
      <c r="H11" s="11">
        <v>0.35289999999999999</v>
      </c>
    </row>
    <row r="12" spans="1:28" x14ac:dyDescent="0.25">
      <c r="A12" s="4"/>
      <c r="B12" s="5" t="s">
        <v>11</v>
      </c>
      <c r="C12" s="5"/>
      <c r="D12" t="s">
        <v>14</v>
      </c>
      <c r="E12" t="s">
        <v>15</v>
      </c>
      <c r="F12" s="11"/>
      <c r="G12" s="11"/>
      <c r="H12" s="11">
        <v>1</v>
      </c>
    </row>
    <row r="13" spans="1:28" x14ac:dyDescent="0.25">
      <c r="A13" s="4"/>
      <c r="B13" s="5" t="s">
        <v>8</v>
      </c>
      <c r="C13" s="5"/>
      <c r="F13" s="11"/>
      <c r="G13" s="11"/>
      <c r="H13" s="11" t="s">
        <v>34</v>
      </c>
    </row>
    <row r="14" spans="1:28" x14ac:dyDescent="0.25">
      <c r="A14" s="4" t="s">
        <v>18</v>
      </c>
      <c r="B14" s="5" t="s">
        <v>19</v>
      </c>
      <c r="C14" s="5"/>
      <c r="D14" t="s">
        <v>20</v>
      </c>
      <c r="E14" t="s">
        <v>21</v>
      </c>
      <c r="F14" s="11"/>
      <c r="G14" s="11"/>
      <c r="H14" s="17">
        <f t="shared" ref="H14:AB14" si="0">H19*$H$20</f>
        <v>-3.1415700000000002</v>
      </c>
      <c r="I14" s="17">
        <f t="shared" si="0"/>
        <v>-2.8274130000000004</v>
      </c>
      <c r="J14" s="17">
        <f t="shared" si="0"/>
        <v>-2.5132560000000002</v>
      </c>
      <c r="K14" s="17">
        <f t="shared" si="0"/>
        <v>-2.1990990000000004</v>
      </c>
      <c r="L14" s="17">
        <f t="shared" si="0"/>
        <v>-1.8849420000000003</v>
      </c>
      <c r="M14" s="17">
        <f t="shared" si="0"/>
        <v>-1.5707850000000001</v>
      </c>
      <c r="N14" s="17">
        <f t="shared" si="0"/>
        <v>-1.2566280000000001</v>
      </c>
      <c r="O14" s="17">
        <f t="shared" si="0"/>
        <v>-0.94247100000000017</v>
      </c>
      <c r="P14" s="17">
        <f t="shared" si="0"/>
        <v>-0.62831400000000004</v>
      </c>
      <c r="Q14" s="17">
        <f t="shared" si="0"/>
        <v>-0.31415700000000002</v>
      </c>
      <c r="R14" s="21">
        <f t="shared" si="0"/>
        <v>0</v>
      </c>
      <c r="S14" s="17">
        <f t="shared" si="0"/>
        <v>0.31415700000000002</v>
      </c>
      <c r="T14" s="17">
        <f t="shared" si="0"/>
        <v>0.62831400000000004</v>
      </c>
      <c r="U14" s="17">
        <f t="shared" si="0"/>
        <v>0.94247100000000017</v>
      </c>
      <c r="V14" s="17">
        <f t="shared" si="0"/>
        <v>1.2566280000000001</v>
      </c>
      <c r="W14" s="17">
        <f t="shared" si="0"/>
        <v>1.5707850000000001</v>
      </c>
      <c r="X14" s="17">
        <f t="shared" si="0"/>
        <v>1.8849420000000003</v>
      </c>
      <c r="Y14" s="17">
        <f t="shared" si="0"/>
        <v>2.1990990000000004</v>
      </c>
      <c r="Z14" s="17">
        <f t="shared" si="0"/>
        <v>2.5132560000000002</v>
      </c>
      <c r="AA14" s="17">
        <f t="shared" si="0"/>
        <v>2.8274130000000004</v>
      </c>
      <c r="AB14" s="17">
        <f t="shared" si="0"/>
        <v>3.1415700000000002</v>
      </c>
    </row>
    <row r="15" spans="1:28" x14ac:dyDescent="0.25">
      <c r="A15" s="4"/>
      <c r="B15" s="5" t="s">
        <v>22</v>
      </c>
      <c r="C15" s="5"/>
      <c r="D15" t="s">
        <v>11</v>
      </c>
      <c r="E15" t="s">
        <v>23</v>
      </c>
      <c r="F15" s="11"/>
      <c r="G15" s="11"/>
      <c r="H15" s="16">
        <f>H17*$H$18</f>
        <v>-0.18</v>
      </c>
      <c r="I15" s="16">
        <f t="shared" ref="I15:AB15" si="1">I17*$H$18</f>
        <v>-0.1638</v>
      </c>
      <c r="J15" s="16">
        <f t="shared" si="1"/>
        <v>-0.14616000000000001</v>
      </c>
      <c r="K15" s="16">
        <f t="shared" si="1"/>
        <v>-0.12672</v>
      </c>
      <c r="L15" s="16">
        <f t="shared" si="1"/>
        <v>-0.10668000000000001</v>
      </c>
      <c r="M15" s="16">
        <f t="shared" si="1"/>
        <v>-8.7719999999999992E-2</v>
      </c>
      <c r="N15" s="16">
        <f t="shared" si="1"/>
        <v>-7.0679999999999993E-2</v>
      </c>
      <c r="O15" s="16">
        <f t="shared" si="1"/>
        <v>-5.4719999999999998E-2</v>
      </c>
      <c r="P15" s="16">
        <f t="shared" si="1"/>
        <v>-3.8159999999999999E-2</v>
      </c>
      <c r="Q15" s="16">
        <f t="shared" si="1"/>
        <v>-1.9800000000000002E-2</v>
      </c>
      <c r="R15" s="19">
        <f t="shared" si="1"/>
        <v>0</v>
      </c>
      <c r="S15" s="16">
        <f t="shared" si="1"/>
        <v>1.9800000000000002E-2</v>
      </c>
      <c r="T15" s="16">
        <f t="shared" si="1"/>
        <v>3.8159999999999999E-2</v>
      </c>
      <c r="U15" s="16">
        <f t="shared" si="1"/>
        <v>5.4719999999999998E-2</v>
      </c>
      <c r="V15" s="16">
        <f t="shared" si="1"/>
        <v>7.0679999999999993E-2</v>
      </c>
      <c r="W15" s="16">
        <f t="shared" si="1"/>
        <v>8.7780000000000011E-2</v>
      </c>
      <c r="X15" s="16">
        <f t="shared" si="1"/>
        <v>0.10668000000000001</v>
      </c>
      <c r="Y15" s="16">
        <f t="shared" si="1"/>
        <v>0.12672</v>
      </c>
      <c r="Z15" s="16">
        <f t="shared" si="1"/>
        <v>0.14616000000000001</v>
      </c>
      <c r="AA15" s="16">
        <f t="shared" si="1"/>
        <v>0.1638</v>
      </c>
      <c r="AB15" s="16">
        <f t="shared" si="1"/>
        <v>0.18</v>
      </c>
    </row>
    <row r="16" spans="1:28" x14ac:dyDescent="0.25">
      <c r="F16" s="6"/>
      <c r="G16" s="6"/>
      <c r="H16" s="6"/>
    </row>
    <row r="17" spans="2:28" x14ac:dyDescent="0.25">
      <c r="F17" s="6"/>
      <c r="G17" s="6"/>
      <c r="H17" s="11">
        <v>-0.3</v>
      </c>
      <c r="I17">
        <v>-0.27300000000000002</v>
      </c>
      <c r="J17">
        <v>-0.24360000000000001</v>
      </c>
      <c r="K17">
        <v>-0.2112</v>
      </c>
      <c r="L17">
        <v>-0.17780000000000001</v>
      </c>
      <c r="M17">
        <v>-0.1462</v>
      </c>
      <c r="N17">
        <v>-0.1178</v>
      </c>
      <c r="O17">
        <v>-9.1200000000000003E-2</v>
      </c>
      <c r="P17">
        <v>-6.3600000000000004E-2</v>
      </c>
      <c r="Q17">
        <v>-3.3000000000000002E-2</v>
      </c>
      <c r="R17">
        <v>0</v>
      </c>
      <c r="S17">
        <v>3.3000000000000002E-2</v>
      </c>
      <c r="T17">
        <v>6.3600000000000004E-2</v>
      </c>
      <c r="U17">
        <v>9.1200000000000003E-2</v>
      </c>
      <c r="V17">
        <v>0.1178</v>
      </c>
      <c r="W17">
        <v>0.14630000000000001</v>
      </c>
      <c r="X17">
        <v>0.17780000000000001</v>
      </c>
      <c r="Y17">
        <v>0.2112</v>
      </c>
      <c r="Z17">
        <v>0.24360000000000001</v>
      </c>
      <c r="AA17">
        <v>0.27300000000000002</v>
      </c>
      <c r="AB17">
        <v>0.3</v>
      </c>
    </row>
    <row r="18" spans="2:28" x14ac:dyDescent="0.25">
      <c r="F18" s="6"/>
      <c r="G18" s="6"/>
      <c r="H18">
        <f>0.6</f>
        <v>0.6</v>
      </c>
    </row>
    <row r="19" spans="2:28" x14ac:dyDescent="0.25">
      <c r="H19" s="11">
        <v>-180</v>
      </c>
      <c r="I19">
        <v>-162</v>
      </c>
      <c r="J19">
        <v>-144</v>
      </c>
      <c r="K19">
        <v>-126</v>
      </c>
      <c r="L19">
        <v>-108</v>
      </c>
      <c r="M19">
        <v>-90</v>
      </c>
      <c r="N19">
        <v>-72</v>
      </c>
      <c r="O19">
        <v>-54</v>
      </c>
      <c r="P19">
        <v>-36</v>
      </c>
      <c r="Q19">
        <v>-18</v>
      </c>
      <c r="R19">
        <v>0</v>
      </c>
      <c r="S19">
        <v>18</v>
      </c>
      <c r="T19">
        <v>36</v>
      </c>
      <c r="U19">
        <v>54</v>
      </c>
      <c r="V19">
        <v>72</v>
      </c>
      <c r="W19">
        <v>90</v>
      </c>
      <c r="X19">
        <v>108</v>
      </c>
      <c r="Y19">
        <v>126</v>
      </c>
      <c r="Z19">
        <v>144</v>
      </c>
      <c r="AA19">
        <v>162</v>
      </c>
      <c r="AB19">
        <v>180</v>
      </c>
    </row>
    <row r="20" spans="2:28" x14ac:dyDescent="0.25">
      <c r="F20" s="6"/>
      <c r="G20" s="6"/>
      <c r="H20">
        <f>3.14157/180</f>
        <v>1.7453166666666669E-2</v>
      </c>
    </row>
    <row r="21" spans="2:28" x14ac:dyDescent="0.25">
      <c r="F21" s="6"/>
      <c r="G21" s="6"/>
      <c r="H21" s="6"/>
    </row>
    <row r="22" spans="2:28" x14ac:dyDescent="0.25">
      <c r="F22" s="6"/>
      <c r="G22" s="6"/>
      <c r="H22" s="6"/>
    </row>
    <row r="23" spans="2:28" x14ac:dyDescent="0.25">
      <c r="F23" s="6"/>
      <c r="G23" s="6"/>
      <c r="H23" s="6"/>
    </row>
    <row r="24" spans="2:28" x14ac:dyDescent="0.25">
      <c r="F24" s="6"/>
      <c r="G24" s="6"/>
      <c r="H24" s="6"/>
    </row>
    <row r="25" spans="2:28" x14ac:dyDescent="0.25">
      <c r="F25" s="6"/>
      <c r="G25" s="6"/>
      <c r="H25" s="6"/>
    </row>
    <row r="26" spans="2:28" x14ac:dyDescent="0.25">
      <c r="B26" s="13"/>
      <c r="F26" s="6"/>
      <c r="G26" s="6"/>
      <c r="H26" s="6"/>
    </row>
    <row r="27" spans="2:28" x14ac:dyDescent="0.25">
      <c r="B27" s="13"/>
      <c r="F27" s="6"/>
      <c r="G27" s="6"/>
      <c r="H27" s="6"/>
    </row>
    <row r="28" spans="2:28" x14ac:dyDescent="0.25">
      <c r="F28" s="6"/>
      <c r="G28" s="6"/>
      <c r="H28" s="6"/>
    </row>
    <row r="29" spans="2:28" x14ac:dyDescent="0.25">
      <c r="F29" s="6"/>
      <c r="G29" s="6"/>
      <c r="H29" s="6"/>
    </row>
    <row r="30" spans="2:28" x14ac:dyDescent="0.25">
      <c r="B30" s="13"/>
      <c r="H30" s="14"/>
    </row>
    <row r="31" spans="2:28" x14ac:dyDescent="0.25">
      <c r="B31" s="13"/>
      <c r="H31" s="14"/>
    </row>
  </sheetData>
  <conditionalFormatting sqref="A30:A31">
    <cfRule type="cellIs" dxfId="17" priority="6" operator="equal">
      <formula>"class"</formula>
    </cfRule>
  </conditionalFormatting>
  <conditionalFormatting sqref="A4:B7 A9:B15">
    <cfRule type="cellIs" dxfId="16" priority="4" operator="equal">
      <formula>"class"</formula>
    </cfRule>
  </conditionalFormatting>
  <conditionalFormatting sqref="A26:B29">
    <cfRule type="cellIs" dxfId="15" priority="8" operator="equal">
      <formula>"class"</formula>
    </cfRule>
  </conditionalFormatting>
  <conditionalFormatting sqref="E5 E7 E9:E15">
    <cfRule type="cellIs" dxfId="14" priority="3" operator="equal">
      <formula>"class"</formula>
    </cfRule>
  </conditionalFormatting>
  <conditionalFormatting sqref="A8:B8">
    <cfRule type="cellIs" dxfId="13" priority="2" operator="equal">
      <formula>"class"</formula>
    </cfRule>
  </conditionalFormatting>
  <conditionalFormatting sqref="E8">
    <cfRule type="cellIs" dxfId="12" priority="1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51F8-FCB7-48C3-AF57-805C6484F0E1}">
  <sheetPr>
    <tabColor theme="8" tint="-0.249977111117893"/>
  </sheetPr>
  <dimension ref="A1:AB31"/>
  <sheetViews>
    <sheetView workbookViewId="0">
      <pane xSplit="3" ySplit="1" topLeftCell="D2" activePane="bottomRight" state="frozen"/>
      <selection activeCell="F21" sqref="F21"/>
      <selection pane="topRight" activeCell="F21" sqref="F21"/>
      <selection pane="bottomLeft" activeCell="F21" sqref="F21"/>
      <selection pane="bottomRight" activeCell="A8" sqref="A8:XFD8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28" width="7.28515625" customWidth="1"/>
  </cols>
  <sheetData>
    <row r="1" spans="1:2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2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28" x14ac:dyDescent="0.25">
      <c r="A3" s="4" t="s">
        <v>7</v>
      </c>
      <c r="B3" s="5"/>
      <c r="C3" s="5"/>
      <c r="F3" s="6"/>
      <c r="G3" s="6"/>
      <c r="H3" s="7" t="s">
        <v>29</v>
      </c>
    </row>
    <row r="4" spans="1:28" x14ac:dyDescent="0.25">
      <c r="A4" s="4" t="s">
        <v>8</v>
      </c>
      <c r="B4" s="8"/>
      <c r="C4" s="8"/>
      <c r="D4" s="8"/>
      <c r="E4" s="8"/>
      <c r="F4" s="9"/>
      <c r="G4" s="9"/>
      <c r="H4" s="10" t="s">
        <v>26</v>
      </c>
    </row>
    <row r="5" spans="1:28" x14ac:dyDescent="0.25">
      <c r="A5" s="4" t="s">
        <v>9</v>
      </c>
      <c r="B5" s="5" t="s">
        <v>10</v>
      </c>
      <c r="C5" s="5"/>
      <c r="D5" t="s">
        <v>11</v>
      </c>
      <c r="E5" t="s">
        <v>12</v>
      </c>
      <c r="F5" s="6">
        <v>0.2238</v>
      </c>
      <c r="G5" s="11">
        <v>0</v>
      </c>
      <c r="H5" s="6">
        <v>0.33</v>
      </c>
    </row>
    <row r="6" spans="1:28" x14ac:dyDescent="0.25">
      <c r="A6" s="4"/>
      <c r="B6" s="12" t="s">
        <v>13</v>
      </c>
      <c r="C6" s="5"/>
      <c r="D6" t="s">
        <v>11</v>
      </c>
      <c r="E6" t="s">
        <v>35</v>
      </c>
      <c r="F6" s="23">
        <v>0.2238</v>
      </c>
      <c r="G6" s="23">
        <v>0.36</v>
      </c>
      <c r="H6" s="23">
        <v>0.33</v>
      </c>
      <c r="J6" s="12" t="s">
        <v>35</v>
      </c>
    </row>
    <row r="7" spans="1:28" x14ac:dyDescent="0.25">
      <c r="A7" s="4"/>
      <c r="B7" s="5" t="s">
        <v>11</v>
      </c>
      <c r="C7" s="5"/>
      <c r="D7" t="s">
        <v>14</v>
      </c>
      <c r="E7" t="s">
        <v>15</v>
      </c>
      <c r="F7" s="11"/>
      <c r="G7" s="11"/>
      <c r="H7" s="11">
        <v>19.792000000000002</v>
      </c>
    </row>
    <row r="8" spans="1:28" x14ac:dyDescent="0.25">
      <c r="A8" s="4"/>
      <c r="B8" s="5" t="s">
        <v>37</v>
      </c>
      <c r="C8" s="5"/>
      <c r="D8" t="s">
        <v>38</v>
      </c>
      <c r="F8" s="11"/>
      <c r="G8" s="11"/>
      <c r="H8" s="11">
        <v>10</v>
      </c>
    </row>
    <row r="9" spans="1:28" x14ac:dyDescent="0.25">
      <c r="A9" s="4"/>
      <c r="B9" s="5" t="s">
        <v>16</v>
      </c>
      <c r="C9" s="5"/>
      <c r="D9" t="s">
        <v>17</v>
      </c>
      <c r="F9" s="11"/>
      <c r="G9" s="11"/>
      <c r="H9" s="11">
        <v>50</v>
      </c>
    </row>
    <row r="10" spans="1:28" x14ac:dyDescent="0.25">
      <c r="A10" s="4" t="s">
        <v>24</v>
      </c>
      <c r="B10" s="5" t="s">
        <v>10</v>
      </c>
      <c r="C10" s="5"/>
      <c r="D10" t="s">
        <v>11</v>
      </c>
      <c r="F10" s="11">
        <v>1.18</v>
      </c>
      <c r="G10" s="11">
        <v>0.55926517503754503</v>
      </c>
      <c r="H10" s="11">
        <v>1.34</v>
      </c>
    </row>
    <row r="11" spans="1:28" x14ac:dyDescent="0.25">
      <c r="A11" s="4"/>
      <c r="B11" s="5" t="s">
        <v>25</v>
      </c>
      <c r="C11" s="5"/>
      <c r="D11" t="s">
        <v>20</v>
      </c>
      <c r="F11" s="11"/>
      <c r="G11" s="11"/>
      <c r="H11" s="11">
        <v>0.78888879999999995</v>
      </c>
    </row>
    <row r="12" spans="1:28" x14ac:dyDescent="0.25">
      <c r="A12" s="4"/>
      <c r="B12" s="5" t="s">
        <v>11</v>
      </c>
      <c r="C12" s="5"/>
      <c r="D12" t="s">
        <v>14</v>
      </c>
      <c r="E12" t="s">
        <v>15</v>
      </c>
      <c r="F12" s="11"/>
      <c r="G12" s="11"/>
      <c r="H12" s="11">
        <v>1</v>
      </c>
    </row>
    <row r="13" spans="1:28" x14ac:dyDescent="0.25">
      <c r="A13" s="4"/>
      <c r="B13" s="5" t="s">
        <v>8</v>
      </c>
      <c r="C13" s="5"/>
      <c r="F13" s="11"/>
      <c r="G13" s="11"/>
      <c r="H13" s="22" t="s">
        <v>34</v>
      </c>
    </row>
    <row r="14" spans="1:28" x14ac:dyDescent="0.25">
      <c r="A14" s="4" t="s">
        <v>18</v>
      </c>
      <c r="B14" s="5" t="s">
        <v>19</v>
      </c>
      <c r="C14" s="5"/>
      <c r="D14" t="s">
        <v>20</v>
      </c>
      <c r="E14" t="s">
        <v>21</v>
      </c>
      <c r="F14" s="11"/>
      <c r="G14" s="11"/>
      <c r="H14" s="16">
        <f>H18*$H$19</f>
        <v>-3.1415700000000002</v>
      </c>
      <c r="I14" s="16">
        <f t="shared" ref="I14:AB14" si="0">I18*$H$19</f>
        <v>-2.8274130000000004</v>
      </c>
      <c r="J14" s="16">
        <f t="shared" si="0"/>
        <v>-2.5132560000000002</v>
      </c>
      <c r="K14" s="16">
        <f t="shared" si="0"/>
        <v>-2.1990990000000004</v>
      </c>
      <c r="L14" s="16">
        <f t="shared" si="0"/>
        <v>-1.8849420000000003</v>
      </c>
      <c r="M14" s="16">
        <f t="shared" si="0"/>
        <v>-1.5707850000000001</v>
      </c>
      <c r="N14" s="16">
        <f t="shared" si="0"/>
        <v>-1.2566280000000001</v>
      </c>
      <c r="O14" s="16">
        <f t="shared" si="0"/>
        <v>-0.94247100000000017</v>
      </c>
      <c r="P14" s="16">
        <f t="shared" si="0"/>
        <v>-0.62831400000000004</v>
      </c>
      <c r="Q14" s="16">
        <f t="shared" si="0"/>
        <v>-0.31415700000000002</v>
      </c>
      <c r="R14" s="19">
        <f t="shared" si="0"/>
        <v>0</v>
      </c>
      <c r="S14" s="16">
        <f t="shared" si="0"/>
        <v>0.31415700000000002</v>
      </c>
      <c r="T14" s="16">
        <f t="shared" si="0"/>
        <v>0.62831400000000004</v>
      </c>
      <c r="U14" s="16">
        <f t="shared" si="0"/>
        <v>0.94247100000000017</v>
      </c>
      <c r="V14" s="16">
        <f t="shared" si="0"/>
        <v>1.2566280000000001</v>
      </c>
      <c r="W14" s="16">
        <f t="shared" si="0"/>
        <v>1.5707850000000001</v>
      </c>
      <c r="X14" s="16">
        <f t="shared" si="0"/>
        <v>1.8849420000000003</v>
      </c>
      <c r="Y14" s="16">
        <f t="shared" si="0"/>
        <v>2.1990990000000004</v>
      </c>
      <c r="Z14" s="16">
        <f t="shared" si="0"/>
        <v>2.5132560000000002</v>
      </c>
      <c r="AA14" s="16">
        <f t="shared" si="0"/>
        <v>2.8274130000000004</v>
      </c>
      <c r="AB14" s="16">
        <f t="shared" si="0"/>
        <v>3.1415700000000002</v>
      </c>
    </row>
    <row r="15" spans="1:28" x14ac:dyDescent="0.25">
      <c r="A15" s="4"/>
      <c r="B15" s="5" t="s">
        <v>22</v>
      </c>
      <c r="C15" s="5"/>
      <c r="D15" t="s">
        <v>11</v>
      </c>
      <c r="E15" t="s">
        <v>23</v>
      </c>
      <c r="F15" s="11"/>
      <c r="G15" s="11"/>
      <c r="H15" s="16">
        <v>-0.3</v>
      </c>
      <c r="I15" s="18">
        <v>-0.27300000000000002</v>
      </c>
      <c r="J15" s="18">
        <v>-0.24360000000000001</v>
      </c>
      <c r="K15" s="18">
        <v>-0.2112</v>
      </c>
      <c r="L15" s="18">
        <v>-0.17780000000000001</v>
      </c>
      <c r="M15" s="18">
        <v>-0.1462</v>
      </c>
      <c r="N15" s="18">
        <v>-0.1178</v>
      </c>
      <c r="O15" s="18">
        <v>-9.1200000000000003E-2</v>
      </c>
      <c r="P15" s="18">
        <v>-6.3600000000000004E-2</v>
      </c>
      <c r="Q15" s="18">
        <v>-3.3000000000000002E-2</v>
      </c>
      <c r="R15" s="20">
        <v>0</v>
      </c>
      <c r="S15" s="18">
        <v>3.3000000000000002E-2</v>
      </c>
      <c r="T15" s="18">
        <v>6.3600000000000004E-2</v>
      </c>
      <c r="U15" s="18">
        <v>9.1200000000000003E-2</v>
      </c>
      <c r="V15" s="18">
        <v>0.1178</v>
      </c>
      <c r="W15" s="18">
        <v>0.14630000000000001</v>
      </c>
      <c r="X15" s="18">
        <v>0.17780000000000001</v>
      </c>
      <c r="Y15" s="18">
        <v>0.2112</v>
      </c>
      <c r="Z15" s="18">
        <v>0.24360000000000001</v>
      </c>
      <c r="AA15" s="18">
        <v>0.27300000000000002</v>
      </c>
      <c r="AB15" s="18">
        <v>0.3</v>
      </c>
    </row>
    <row r="16" spans="1:28" x14ac:dyDescent="0.25">
      <c r="F16" s="6"/>
      <c r="G16" s="6"/>
      <c r="H16" s="6"/>
    </row>
    <row r="17" spans="2:28" x14ac:dyDescent="0.25">
      <c r="F17" s="6"/>
      <c r="G17" s="6"/>
      <c r="H17" s="6"/>
    </row>
    <row r="18" spans="2:28" x14ac:dyDescent="0.25">
      <c r="F18" s="6"/>
      <c r="G18" s="6"/>
      <c r="H18" s="11">
        <v>-180</v>
      </c>
      <c r="I18">
        <v>-162</v>
      </c>
      <c r="J18">
        <v>-144</v>
      </c>
      <c r="K18">
        <v>-126</v>
      </c>
      <c r="L18">
        <v>-108</v>
      </c>
      <c r="M18">
        <v>-90</v>
      </c>
      <c r="N18">
        <v>-72</v>
      </c>
      <c r="O18">
        <v>-54</v>
      </c>
      <c r="P18">
        <v>-36</v>
      </c>
      <c r="Q18">
        <v>-18</v>
      </c>
      <c r="R18">
        <v>0</v>
      </c>
      <c r="S18">
        <v>18</v>
      </c>
      <c r="T18">
        <v>36</v>
      </c>
      <c r="U18">
        <v>54</v>
      </c>
      <c r="V18">
        <v>72</v>
      </c>
      <c r="W18">
        <v>90</v>
      </c>
      <c r="X18">
        <v>108</v>
      </c>
      <c r="Y18">
        <v>126</v>
      </c>
      <c r="Z18">
        <v>144</v>
      </c>
      <c r="AA18">
        <v>162</v>
      </c>
      <c r="AB18">
        <v>180</v>
      </c>
    </row>
    <row r="19" spans="2:28" x14ac:dyDescent="0.25">
      <c r="H19">
        <f>3.14157/180</f>
        <v>1.7453166666666669E-2</v>
      </c>
    </row>
    <row r="20" spans="2:28" x14ac:dyDescent="0.25">
      <c r="F20" s="6"/>
      <c r="G20" s="6"/>
      <c r="H20" s="6"/>
    </row>
    <row r="21" spans="2:28" x14ac:dyDescent="0.25">
      <c r="F21" s="6"/>
      <c r="G21" s="6"/>
      <c r="H21" s="6"/>
    </row>
    <row r="22" spans="2:28" x14ac:dyDescent="0.25">
      <c r="F22" s="6"/>
      <c r="G22" s="6"/>
      <c r="H22" s="6"/>
    </row>
    <row r="23" spans="2:28" x14ac:dyDescent="0.25">
      <c r="F23" s="6"/>
      <c r="G23" s="6"/>
      <c r="H23" s="6"/>
    </row>
    <row r="24" spans="2:28" x14ac:dyDescent="0.25">
      <c r="F24" s="6"/>
      <c r="G24" s="6"/>
      <c r="H24" s="6"/>
    </row>
    <row r="25" spans="2:28" x14ac:dyDescent="0.25">
      <c r="F25" s="6"/>
      <c r="G25" s="6"/>
      <c r="H25" s="6"/>
    </row>
    <row r="26" spans="2:28" x14ac:dyDescent="0.25">
      <c r="B26" s="13"/>
      <c r="F26" s="6"/>
      <c r="G26" s="6"/>
      <c r="H26" s="6"/>
    </row>
    <row r="27" spans="2:28" x14ac:dyDescent="0.25">
      <c r="B27" s="13"/>
      <c r="F27" s="6"/>
      <c r="G27" s="6"/>
      <c r="H27" s="6"/>
    </row>
    <row r="28" spans="2:28" x14ac:dyDescent="0.25">
      <c r="F28" s="6"/>
      <c r="G28" s="6"/>
      <c r="H28" s="6"/>
    </row>
    <row r="29" spans="2:28" x14ac:dyDescent="0.25">
      <c r="F29" s="6"/>
      <c r="G29" s="6"/>
      <c r="H29" s="6"/>
    </row>
    <row r="30" spans="2:28" x14ac:dyDescent="0.25">
      <c r="B30" s="13"/>
      <c r="H30" s="14"/>
    </row>
    <row r="31" spans="2:28" x14ac:dyDescent="0.25">
      <c r="B31" s="13"/>
      <c r="H31" s="14"/>
    </row>
  </sheetData>
  <conditionalFormatting sqref="A30:A31">
    <cfRule type="cellIs" dxfId="11" priority="8" operator="equal">
      <formula>"class"</formula>
    </cfRule>
  </conditionalFormatting>
  <conditionalFormatting sqref="A4:B7 A9:B15">
    <cfRule type="cellIs" dxfId="10" priority="4" operator="equal">
      <formula>"class"</formula>
    </cfRule>
  </conditionalFormatting>
  <conditionalFormatting sqref="A26:B29">
    <cfRule type="cellIs" dxfId="9" priority="10" operator="equal">
      <formula>"class"</formula>
    </cfRule>
  </conditionalFormatting>
  <conditionalFormatting sqref="E5 E7 E9:E15">
    <cfRule type="cellIs" dxfId="8" priority="3" operator="equal">
      <formula>"class"</formula>
    </cfRule>
  </conditionalFormatting>
  <conditionalFormatting sqref="A8:B8">
    <cfRule type="cellIs" dxfId="7" priority="2" operator="equal">
      <formula>"class"</formula>
    </cfRule>
  </conditionalFormatting>
  <conditionalFormatting sqref="E8">
    <cfRule type="cellIs" dxfId="6" priority="1" operator="equal">
      <formula>"class"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94BB-4567-4343-A50B-6213890A4EAF}">
  <sheetPr>
    <tabColor theme="8" tint="-0.249977111117893"/>
  </sheetPr>
  <dimension ref="A1:AB31"/>
  <sheetViews>
    <sheetView workbookViewId="0">
      <pane xSplit="3" ySplit="1" topLeftCell="D2" activePane="bottomRight" state="frozen"/>
      <selection activeCell="S33" sqref="S33"/>
      <selection pane="topRight" activeCell="S33" sqref="S33"/>
      <selection pane="bottomLeft" activeCell="S33" sqref="S33"/>
      <selection pane="bottomRight" activeCell="A8" sqref="A8:XFD8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28" width="7.28515625" customWidth="1"/>
  </cols>
  <sheetData>
    <row r="1" spans="1:2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2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28" x14ac:dyDescent="0.25">
      <c r="A3" s="4" t="s">
        <v>7</v>
      </c>
      <c r="B3" s="5"/>
      <c r="C3" s="5"/>
      <c r="F3" s="6"/>
      <c r="G3" s="6"/>
      <c r="H3" s="7" t="s">
        <v>36</v>
      </c>
    </row>
    <row r="4" spans="1:28" x14ac:dyDescent="0.25">
      <c r="A4" s="4" t="s">
        <v>8</v>
      </c>
      <c r="B4" s="8"/>
      <c r="C4" s="8"/>
      <c r="D4" s="8"/>
      <c r="E4" s="8"/>
      <c r="F4" s="9"/>
      <c r="G4" s="9"/>
      <c r="H4" s="10" t="s">
        <v>26</v>
      </c>
    </row>
    <row r="5" spans="1:28" x14ac:dyDescent="0.25">
      <c r="A5" s="4" t="s">
        <v>9</v>
      </c>
      <c r="B5" s="5" t="s">
        <v>10</v>
      </c>
      <c r="C5" s="5"/>
      <c r="D5" t="s">
        <v>11</v>
      </c>
      <c r="E5" t="s">
        <v>12</v>
      </c>
      <c r="F5" s="6">
        <v>0.15379999999999999</v>
      </c>
      <c r="G5" s="11">
        <v>0</v>
      </c>
      <c r="H5" s="6">
        <v>0.24</v>
      </c>
    </row>
    <row r="6" spans="1:28" x14ac:dyDescent="0.25">
      <c r="A6" s="4"/>
      <c r="B6" s="12" t="s">
        <v>13</v>
      </c>
      <c r="C6" s="5"/>
      <c r="D6" t="s">
        <v>11</v>
      </c>
      <c r="E6" t="s">
        <v>35</v>
      </c>
      <c r="F6" s="23">
        <v>0.15379999999999999</v>
      </c>
      <c r="G6" s="23">
        <f>0.65-0.25</f>
        <v>0.4</v>
      </c>
      <c r="H6" s="23">
        <v>0.24</v>
      </c>
      <c r="J6" s="12" t="s">
        <v>35</v>
      </c>
    </row>
    <row r="7" spans="1:28" x14ac:dyDescent="0.25">
      <c r="A7" s="4"/>
      <c r="B7" s="5" t="s">
        <v>11</v>
      </c>
      <c r="C7" s="5"/>
      <c r="D7" t="s">
        <v>14</v>
      </c>
      <c r="E7" t="s">
        <v>15</v>
      </c>
      <c r="F7" s="11"/>
      <c r="G7" s="11"/>
      <c r="H7" s="11">
        <v>19.792000000000002</v>
      </c>
    </row>
    <row r="8" spans="1:28" x14ac:dyDescent="0.25">
      <c r="A8" s="4"/>
      <c r="B8" s="5" t="s">
        <v>37</v>
      </c>
      <c r="C8" s="5"/>
      <c r="D8" t="s">
        <v>38</v>
      </c>
      <c r="F8" s="11"/>
      <c r="G8" s="11"/>
      <c r="H8" s="11">
        <v>10</v>
      </c>
    </row>
    <row r="9" spans="1:28" x14ac:dyDescent="0.25">
      <c r="A9" s="4"/>
      <c r="B9" s="5" t="s">
        <v>16</v>
      </c>
      <c r="C9" s="5"/>
      <c r="D9" t="s">
        <v>17</v>
      </c>
      <c r="F9" s="11"/>
      <c r="G9" s="11"/>
      <c r="H9" s="11">
        <v>50</v>
      </c>
    </row>
    <row r="10" spans="1:28" x14ac:dyDescent="0.25">
      <c r="A10" s="4" t="s">
        <v>24</v>
      </c>
      <c r="B10" s="5" t="s">
        <v>10</v>
      </c>
      <c r="C10" s="5"/>
      <c r="D10" t="s">
        <v>11</v>
      </c>
      <c r="F10" s="15">
        <v>-1.0213531220517</v>
      </c>
      <c r="G10" s="15">
        <v>-0.37675517503754502</v>
      </c>
      <c r="H10" s="15">
        <v>1.2232615388534001</v>
      </c>
    </row>
    <row r="11" spans="1:28" x14ac:dyDescent="0.25">
      <c r="A11" s="4"/>
      <c r="B11" s="5" t="s">
        <v>25</v>
      </c>
      <c r="C11" s="5"/>
      <c r="D11" t="s">
        <v>20</v>
      </c>
      <c r="F11" s="11"/>
      <c r="G11" s="11"/>
      <c r="H11" s="11">
        <v>0.35289999999999999</v>
      </c>
    </row>
    <row r="12" spans="1:28" x14ac:dyDescent="0.25">
      <c r="A12" s="4"/>
      <c r="B12" s="5" t="s">
        <v>11</v>
      </c>
      <c r="C12" s="5"/>
      <c r="D12" t="s">
        <v>14</v>
      </c>
      <c r="E12" t="s">
        <v>15</v>
      </c>
      <c r="F12" s="11"/>
      <c r="G12" s="11"/>
      <c r="H12" s="11">
        <v>1</v>
      </c>
    </row>
    <row r="13" spans="1:28" x14ac:dyDescent="0.25">
      <c r="A13" s="4"/>
      <c r="B13" s="5" t="s">
        <v>8</v>
      </c>
      <c r="C13" s="5"/>
      <c r="F13" s="11"/>
      <c r="G13" s="11"/>
      <c r="H13" s="11" t="s">
        <v>34</v>
      </c>
    </row>
    <row r="14" spans="1:28" x14ac:dyDescent="0.25">
      <c r="A14" s="4" t="s">
        <v>18</v>
      </c>
      <c r="B14" s="5" t="s">
        <v>19</v>
      </c>
      <c r="C14" s="5"/>
      <c r="D14" t="s">
        <v>20</v>
      </c>
      <c r="E14" t="s">
        <v>21</v>
      </c>
      <c r="F14" s="11"/>
      <c r="G14" s="11"/>
      <c r="H14" s="17">
        <f t="shared" ref="H14:AB14" si="0">H19*$H$20</f>
        <v>-3.1415700000000002</v>
      </c>
      <c r="I14" s="17">
        <f t="shared" si="0"/>
        <v>-2.8274130000000004</v>
      </c>
      <c r="J14" s="17">
        <f t="shared" si="0"/>
        <v>-2.5132560000000002</v>
      </c>
      <c r="K14" s="17">
        <f t="shared" si="0"/>
        <v>-2.1990990000000004</v>
      </c>
      <c r="L14" s="17">
        <f t="shared" si="0"/>
        <v>-1.8849420000000003</v>
      </c>
      <c r="M14" s="17">
        <f t="shared" si="0"/>
        <v>-1.5707850000000001</v>
      </c>
      <c r="N14" s="17">
        <f t="shared" si="0"/>
        <v>-1.2566280000000001</v>
      </c>
      <c r="O14" s="17">
        <f t="shared" si="0"/>
        <v>-0.94247100000000017</v>
      </c>
      <c r="P14" s="17">
        <f t="shared" si="0"/>
        <v>-0.62831400000000004</v>
      </c>
      <c r="Q14" s="17">
        <f t="shared" si="0"/>
        <v>-0.31415700000000002</v>
      </c>
      <c r="R14" s="21">
        <f t="shared" si="0"/>
        <v>0</v>
      </c>
      <c r="S14" s="17">
        <f t="shared" si="0"/>
        <v>0.31415700000000002</v>
      </c>
      <c r="T14" s="17">
        <f t="shared" si="0"/>
        <v>0.62831400000000004</v>
      </c>
      <c r="U14" s="17">
        <f t="shared" si="0"/>
        <v>0.94247100000000017</v>
      </c>
      <c r="V14" s="17">
        <f t="shared" si="0"/>
        <v>1.2566280000000001</v>
      </c>
      <c r="W14" s="17">
        <f t="shared" si="0"/>
        <v>1.5707850000000001</v>
      </c>
      <c r="X14" s="17">
        <f t="shared" si="0"/>
        <v>1.8849420000000003</v>
      </c>
      <c r="Y14" s="17">
        <f t="shared" si="0"/>
        <v>2.1990990000000004</v>
      </c>
      <c r="Z14" s="17">
        <f t="shared" si="0"/>
        <v>2.5132560000000002</v>
      </c>
      <c r="AA14" s="17">
        <f t="shared" si="0"/>
        <v>2.8274130000000004</v>
      </c>
      <c r="AB14" s="17">
        <f t="shared" si="0"/>
        <v>3.1415700000000002</v>
      </c>
    </row>
    <row r="15" spans="1:28" x14ac:dyDescent="0.25">
      <c r="A15" s="4"/>
      <c r="B15" s="5" t="s">
        <v>22</v>
      </c>
      <c r="C15" s="5"/>
      <c r="D15" t="s">
        <v>11</v>
      </c>
      <c r="E15" t="s">
        <v>23</v>
      </c>
      <c r="F15" s="11"/>
      <c r="G15" s="11"/>
      <c r="H15" s="16">
        <f>H17*$H$18</f>
        <v>-0.18</v>
      </c>
      <c r="I15" s="16">
        <f t="shared" ref="I15:AB15" si="1">I17*$H$18</f>
        <v>-0.1638</v>
      </c>
      <c r="J15" s="16">
        <f t="shared" si="1"/>
        <v>-0.14616000000000001</v>
      </c>
      <c r="K15" s="16">
        <f t="shared" si="1"/>
        <v>-0.12672</v>
      </c>
      <c r="L15" s="16">
        <f t="shared" si="1"/>
        <v>-0.10668000000000001</v>
      </c>
      <c r="M15" s="16">
        <f t="shared" si="1"/>
        <v>-8.7719999999999992E-2</v>
      </c>
      <c r="N15" s="16">
        <f t="shared" si="1"/>
        <v>-7.0679999999999993E-2</v>
      </c>
      <c r="O15" s="16">
        <f t="shared" si="1"/>
        <v>-5.4719999999999998E-2</v>
      </c>
      <c r="P15" s="16">
        <f t="shared" si="1"/>
        <v>-3.8159999999999999E-2</v>
      </c>
      <c r="Q15" s="16">
        <f t="shared" si="1"/>
        <v>-1.9800000000000002E-2</v>
      </c>
      <c r="R15" s="19">
        <f t="shared" si="1"/>
        <v>0</v>
      </c>
      <c r="S15" s="16">
        <f t="shared" si="1"/>
        <v>1.9800000000000002E-2</v>
      </c>
      <c r="T15" s="16">
        <f t="shared" si="1"/>
        <v>3.8159999999999999E-2</v>
      </c>
      <c r="U15" s="16">
        <f t="shared" si="1"/>
        <v>5.4719999999999998E-2</v>
      </c>
      <c r="V15" s="16">
        <f t="shared" si="1"/>
        <v>7.0679999999999993E-2</v>
      </c>
      <c r="W15" s="16">
        <f t="shared" si="1"/>
        <v>8.7780000000000011E-2</v>
      </c>
      <c r="X15" s="16">
        <f t="shared" si="1"/>
        <v>0.10668000000000001</v>
      </c>
      <c r="Y15" s="16">
        <f t="shared" si="1"/>
        <v>0.12672</v>
      </c>
      <c r="Z15" s="16">
        <f t="shared" si="1"/>
        <v>0.14616000000000001</v>
      </c>
      <c r="AA15" s="16">
        <f t="shared" si="1"/>
        <v>0.1638</v>
      </c>
      <c r="AB15" s="16">
        <f t="shared" si="1"/>
        <v>0.18</v>
      </c>
    </row>
    <row r="16" spans="1:28" x14ac:dyDescent="0.25">
      <c r="F16" s="6"/>
      <c r="G16" s="6"/>
      <c r="H16" s="6"/>
    </row>
    <row r="17" spans="2:28" x14ac:dyDescent="0.25">
      <c r="F17" s="6"/>
      <c r="G17" s="6"/>
      <c r="H17" s="11">
        <v>-0.3</v>
      </c>
      <c r="I17">
        <v>-0.27300000000000002</v>
      </c>
      <c r="J17">
        <v>-0.24360000000000001</v>
      </c>
      <c r="K17">
        <v>-0.2112</v>
      </c>
      <c r="L17">
        <v>-0.17780000000000001</v>
      </c>
      <c r="M17">
        <v>-0.1462</v>
      </c>
      <c r="N17">
        <v>-0.1178</v>
      </c>
      <c r="O17">
        <v>-9.1200000000000003E-2</v>
      </c>
      <c r="P17">
        <v>-6.3600000000000004E-2</v>
      </c>
      <c r="Q17">
        <v>-3.3000000000000002E-2</v>
      </c>
      <c r="R17">
        <v>0</v>
      </c>
      <c r="S17">
        <v>3.3000000000000002E-2</v>
      </c>
      <c r="T17">
        <v>6.3600000000000004E-2</v>
      </c>
      <c r="U17">
        <v>9.1200000000000003E-2</v>
      </c>
      <c r="V17">
        <v>0.1178</v>
      </c>
      <c r="W17">
        <v>0.14630000000000001</v>
      </c>
      <c r="X17">
        <v>0.17780000000000001</v>
      </c>
      <c r="Y17">
        <v>0.2112</v>
      </c>
      <c r="Z17">
        <v>0.24360000000000001</v>
      </c>
      <c r="AA17">
        <v>0.27300000000000002</v>
      </c>
      <c r="AB17">
        <v>0.3</v>
      </c>
    </row>
    <row r="18" spans="2:28" x14ac:dyDescent="0.25">
      <c r="F18" s="6"/>
      <c r="G18" s="6"/>
      <c r="H18">
        <f>0.6</f>
        <v>0.6</v>
      </c>
    </row>
    <row r="19" spans="2:28" x14ac:dyDescent="0.25">
      <c r="H19" s="11">
        <v>-180</v>
      </c>
      <c r="I19">
        <v>-162</v>
      </c>
      <c r="J19">
        <v>-144</v>
      </c>
      <c r="K19">
        <v>-126</v>
      </c>
      <c r="L19">
        <v>-108</v>
      </c>
      <c r="M19">
        <v>-90</v>
      </c>
      <c r="N19">
        <v>-72</v>
      </c>
      <c r="O19">
        <v>-54</v>
      </c>
      <c r="P19">
        <v>-36</v>
      </c>
      <c r="Q19">
        <v>-18</v>
      </c>
      <c r="R19">
        <v>0</v>
      </c>
      <c r="S19">
        <v>18</v>
      </c>
      <c r="T19">
        <v>36</v>
      </c>
      <c r="U19">
        <v>54</v>
      </c>
      <c r="V19">
        <v>72</v>
      </c>
      <c r="W19">
        <v>90</v>
      </c>
      <c r="X19">
        <v>108</v>
      </c>
      <c r="Y19">
        <v>126</v>
      </c>
      <c r="Z19">
        <v>144</v>
      </c>
      <c r="AA19">
        <v>162</v>
      </c>
      <c r="AB19">
        <v>180</v>
      </c>
    </row>
    <row r="20" spans="2:28" x14ac:dyDescent="0.25">
      <c r="F20" s="6"/>
      <c r="G20" s="6"/>
      <c r="H20">
        <f>3.14157/180</f>
        <v>1.7453166666666669E-2</v>
      </c>
    </row>
    <row r="21" spans="2:28" x14ac:dyDescent="0.25">
      <c r="F21" s="6"/>
      <c r="G21" s="6"/>
      <c r="H21" s="6"/>
    </row>
    <row r="22" spans="2:28" x14ac:dyDescent="0.25">
      <c r="F22" s="6"/>
      <c r="G22" s="6"/>
      <c r="H22" s="6"/>
    </row>
    <row r="23" spans="2:28" x14ac:dyDescent="0.25">
      <c r="F23" s="6"/>
      <c r="G23" s="6"/>
      <c r="H23" s="6"/>
    </row>
    <row r="24" spans="2:28" x14ac:dyDescent="0.25">
      <c r="F24" s="6"/>
      <c r="G24" s="6"/>
      <c r="H24" s="6"/>
    </row>
    <row r="25" spans="2:28" x14ac:dyDescent="0.25">
      <c r="F25" s="6"/>
      <c r="G25" s="6"/>
      <c r="H25" s="6"/>
    </row>
    <row r="26" spans="2:28" x14ac:dyDescent="0.25">
      <c r="B26" s="13"/>
      <c r="F26" s="6"/>
      <c r="G26" s="6"/>
      <c r="H26" s="6"/>
    </row>
    <row r="27" spans="2:28" x14ac:dyDescent="0.25">
      <c r="B27" s="13"/>
      <c r="F27" s="6"/>
      <c r="G27" s="6"/>
      <c r="H27" s="6"/>
    </row>
    <row r="28" spans="2:28" x14ac:dyDescent="0.25">
      <c r="F28" s="6"/>
      <c r="G28" s="6"/>
      <c r="H28" s="6"/>
    </row>
    <row r="29" spans="2:28" x14ac:dyDescent="0.25">
      <c r="F29" s="6"/>
      <c r="G29" s="6"/>
      <c r="H29" s="6"/>
    </row>
    <row r="30" spans="2:28" x14ac:dyDescent="0.25">
      <c r="B30" s="13"/>
      <c r="H30" s="14"/>
    </row>
    <row r="31" spans="2:28" x14ac:dyDescent="0.25">
      <c r="B31" s="13"/>
      <c r="H31" s="14"/>
    </row>
  </sheetData>
  <conditionalFormatting sqref="A30:A31">
    <cfRule type="cellIs" dxfId="5" priority="5" operator="equal">
      <formula>"class"</formula>
    </cfRule>
  </conditionalFormatting>
  <conditionalFormatting sqref="A4:B15">
    <cfRule type="cellIs" dxfId="4" priority="4" operator="equal">
      <formula>"class"</formula>
    </cfRule>
  </conditionalFormatting>
  <conditionalFormatting sqref="A26:B29">
    <cfRule type="cellIs" dxfId="3" priority="6" operator="equal">
      <formula>"class"</formula>
    </cfRule>
  </conditionalFormatting>
  <conditionalFormatting sqref="E5 E7:E15">
    <cfRule type="cellIs" dxfId="2" priority="3" operator="equal">
      <formula>"class"</formula>
    </cfRule>
  </conditionalFormatting>
  <conditionalFormatting sqref="A8:B8">
    <cfRule type="cellIs" dxfId="1" priority="2" operator="equal">
      <formula>"class"</formula>
    </cfRule>
  </conditionalFormatting>
  <conditionalFormatting sqref="E8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RWheel_Hamba_f</vt:lpstr>
      <vt:lpstr>RWheel_HambaLG_f</vt:lpstr>
      <vt:lpstr>RWheel_Bus_Makhulu_f</vt:lpstr>
      <vt:lpstr>RWheel_SUVLandy_f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2019-11-06T15:47:11Z</dcterms:created>
  <dcterms:modified xsi:type="dcterms:W3CDTF">2026-06-11T16:24:50Z</dcterms:modified>
</cp:coreProperties>
</file>