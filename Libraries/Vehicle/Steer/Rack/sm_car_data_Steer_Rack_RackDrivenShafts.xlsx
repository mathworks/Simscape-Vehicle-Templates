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teer\Rack\"/>
    </mc:Choice>
  </mc:AlternateContent>
  <xr:revisionPtr revIDLastSave="0" documentId="13_ncr:1_{8B5B6DF2-0849-47B8-8AA2-7C1A96F4E40F}" xr6:coauthVersionLast="47" xr6:coauthVersionMax="47" xr10:uidLastSave="{00000000-0000-0000-0000-000000000000}"/>
  <bookViews>
    <workbookView xWindow="1560" yWindow="1560" windowWidth="21600" windowHeight="11295" xr2:uid="{D9039836-AE1C-44B6-B79C-EC3842DC130C}"/>
  </bookViews>
  <sheets>
    <sheet name="RDrivenShafts_HambaL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2" l="1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H26" i="2"/>
  <c r="H28" i="2"/>
  <c r="J22" i="2" s="1"/>
  <c r="I22" i="2" l="1"/>
  <c r="L22" i="2"/>
  <c r="H22" i="2"/>
  <c r="M22" i="2"/>
  <c r="AB22" i="2"/>
  <c r="Z22" i="2"/>
  <c r="Y22" i="2"/>
  <c r="W22" i="2"/>
  <c r="V22" i="2"/>
  <c r="T22" i="2"/>
  <c r="AA22" i="2"/>
  <c r="X22" i="2"/>
  <c r="U22" i="2"/>
  <c r="S22" i="2"/>
  <c r="R22" i="2"/>
  <c r="Q22" i="2"/>
  <c r="P22" i="2"/>
  <c r="O22" i="2"/>
  <c r="N22" i="2"/>
  <c r="K22" i="2"/>
</calcChain>
</file>

<file path=xl/sharedStrings.xml><?xml version="1.0" encoding="utf-8"?>
<sst xmlns="http://schemas.openxmlformats.org/spreadsheetml/2006/main" count="64" uniqueCount="39">
  <si>
    <t>Rack Displacement</t>
  </si>
  <si>
    <t>m</t>
  </si>
  <si>
    <t>xRack</t>
  </si>
  <si>
    <t>Wheel Angle</t>
  </si>
  <si>
    <t>rad</t>
  </si>
  <si>
    <t>aWheel</t>
  </si>
  <si>
    <t>Ratio Table</t>
  </si>
  <si>
    <t>kg</t>
  </si>
  <si>
    <t>xRad</t>
  </si>
  <si>
    <t>Pinion sMount taken from WDrivenRack_HambaLG_f</t>
  </si>
  <si>
    <t>sMount</t>
  </si>
  <si>
    <t>Pinion</t>
  </si>
  <si>
    <t>xLength</t>
  </si>
  <si>
    <t>Shaft Lower</t>
  </si>
  <si>
    <t>Shaft Intermediate</t>
  </si>
  <si>
    <t>Shaft Upper</t>
  </si>
  <si>
    <t>Sedan</t>
  </si>
  <si>
    <t>class</t>
  </si>
  <si>
    <t>Mass</t>
  </si>
  <si>
    <t>aAxis</t>
  </si>
  <si>
    <t>Wheel</t>
  </si>
  <si>
    <t>Hz</t>
  </si>
  <si>
    <t>fActuatorCutoff</t>
  </si>
  <si>
    <t>Must  be consistent with linkage trackrod inboard point</t>
  </si>
  <si>
    <t>sOutboard</t>
  </si>
  <si>
    <t>HPRack</t>
  </si>
  <si>
    <t>Rack</t>
  </si>
  <si>
    <t>RackDrivenShafts</t>
  </si>
  <si>
    <t>RackDrivenShafts_Sedan_HambaLG_f</t>
  </si>
  <si>
    <t>Instance</t>
  </si>
  <si>
    <t>Steer</t>
  </si>
  <si>
    <t>Type</t>
  </si>
  <si>
    <t>z or scalar</t>
  </si>
  <si>
    <t>y</t>
  </si>
  <si>
    <t>x</t>
  </si>
  <si>
    <t>Comments</t>
  </si>
  <si>
    <t>Units</t>
  </si>
  <si>
    <t>d</t>
  </si>
  <si>
    <t>N/(m/s)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</si>
</sst>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2" fontId="2" fillId="0" borderId="0" xfId="1" applyNumberFormat="1" applyFont="1"/>
    <xf numFmtId="0" fontId="2" fillId="0" borderId="0" xfId="1" applyFont="1"/>
    <xf numFmtId="164" fontId="2" fillId="0" borderId="0" xfId="1" applyNumberFormat="1" applyFont="1"/>
    <xf numFmtId="0" fontId="1" fillId="2" borderId="0" xfId="1" applyFill="1"/>
    <xf numFmtId="0" fontId="1" fillId="2" borderId="0" xfId="1" applyFill="1" applyAlignment="1">
      <alignment horizontal="left"/>
    </xf>
    <xf numFmtId="164" fontId="2" fillId="0" borderId="0" xfId="1" applyNumberFormat="1" applyFont="1" applyAlignment="1">
      <alignment horizontal="right"/>
    </xf>
    <xf numFmtId="164" fontId="1" fillId="0" borderId="0" xfId="1" applyNumberFormat="1"/>
    <xf numFmtId="1" fontId="1" fillId="0" borderId="0" xfId="1" applyNumberFormat="1"/>
    <xf numFmtId="0" fontId="2" fillId="0" borderId="0" xfId="1" applyFont="1" applyAlignment="1">
      <alignment horizontal="right"/>
    </xf>
    <xf numFmtId="0" fontId="1" fillId="3" borderId="0" xfId="1" applyFill="1"/>
    <xf numFmtId="2" fontId="2" fillId="3" borderId="0" xfId="1" applyNumberFormat="1" applyFont="1" applyFill="1"/>
    <xf numFmtId="2" fontId="2" fillId="4" borderId="0" xfId="1" applyNumberFormat="1" applyFont="1" applyFill="1" applyAlignment="1">
      <alignment horizontal="right"/>
    </xf>
    <xf numFmtId="2" fontId="2" fillId="4" borderId="0" xfId="1" applyNumberFormat="1" applyFont="1" applyFill="1"/>
    <xf numFmtId="0" fontId="1" fillId="4" borderId="0" xfId="1" applyFill="1"/>
    <xf numFmtId="2" fontId="2" fillId="0" borderId="0" xfId="1" applyNumberFormat="1" applyFont="1" applyAlignment="1">
      <alignment horizontal="right"/>
    </xf>
    <xf numFmtId="0" fontId="3" fillId="5" borderId="0" xfId="1" applyFont="1" applyFill="1" applyAlignment="1">
      <alignment horizontal="center"/>
    </xf>
    <xf numFmtId="0" fontId="1" fillId="5" borderId="0" xfId="1" applyFill="1"/>
    <xf numFmtId="0" fontId="3" fillId="5" borderId="0" xfId="1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2" fillId="0" borderId="0" xfId="0" applyFont="1"/>
  </cellXfs>
  <cellStyles count="2">
    <cellStyle name="Normal" xfId="0" builtinId="0"/>
    <cellStyle name="Normal 2" xfId="1" xr:uid="{C7FD2671-4695-42EF-B7D6-2FEFF336E27C}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DDAF0-2852-4967-BDB6-A3BC3C703F99}">
  <sheetPr>
    <tabColor theme="8" tint="-0.249977111117893"/>
  </sheetPr>
  <dimension ref="A1:AB39"/>
  <sheetViews>
    <sheetView tabSelected="1" workbookViewId="0">
      <pane xSplit="3" ySplit="1" topLeftCell="D2" activePane="bottomRight" state="frozen"/>
      <selection activeCell="F21" sqref="F21"/>
      <selection pane="topRight" activeCell="F21" sqref="F21"/>
      <selection pane="bottomLeft" activeCell="F21" sqref="F21"/>
      <selection pane="bottomRight" activeCell="A8" sqref="A8"/>
    </sheetView>
  </sheetViews>
  <sheetFormatPr defaultRowHeight="15" x14ac:dyDescent="0.25"/>
  <cols>
    <col min="1" max="1" width="14.42578125" style="2" customWidth="1"/>
    <col min="2" max="2" width="12.7109375" style="1" customWidth="1"/>
    <col min="3" max="5" width="11.140625" style="1" customWidth="1"/>
    <col min="6" max="8" width="10" style="1" customWidth="1"/>
    <col min="9" max="28" width="7.28515625" style="1" customWidth="1"/>
    <col min="29" max="16384" width="9.140625" style="1"/>
  </cols>
  <sheetData>
    <row r="1" spans="1:28" x14ac:dyDescent="0.25">
      <c r="A1" s="21"/>
      <c r="B1" s="19"/>
      <c r="C1" s="20"/>
      <c r="D1" s="19" t="s">
        <v>36</v>
      </c>
      <c r="E1" s="19" t="s">
        <v>35</v>
      </c>
      <c r="F1" s="19" t="s">
        <v>34</v>
      </c>
      <c r="G1" s="19" t="s">
        <v>33</v>
      </c>
      <c r="H1" s="19" t="s">
        <v>32</v>
      </c>
    </row>
    <row r="2" spans="1:28" x14ac:dyDescent="0.25">
      <c r="A2" s="8" t="s">
        <v>31</v>
      </c>
      <c r="B2" s="7"/>
      <c r="C2" s="7"/>
      <c r="E2" s="4"/>
      <c r="F2" s="4"/>
      <c r="G2" s="4"/>
      <c r="H2" s="18" t="s">
        <v>30</v>
      </c>
    </row>
    <row r="3" spans="1:28" x14ac:dyDescent="0.25">
      <c r="A3" s="8" t="s">
        <v>29</v>
      </c>
      <c r="B3" s="7"/>
      <c r="C3" s="7"/>
      <c r="F3" s="4"/>
      <c r="G3" s="4"/>
      <c r="H3" s="18" t="s">
        <v>28</v>
      </c>
    </row>
    <row r="4" spans="1:28" x14ac:dyDescent="0.25">
      <c r="A4" s="8" t="s">
        <v>17</v>
      </c>
      <c r="B4" s="17"/>
      <c r="C4" s="17"/>
      <c r="D4" s="17"/>
      <c r="E4" s="17"/>
      <c r="F4" s="16"/>
      <c r="G4" s="16"/>
      <c r="H4" s="15" t="s">
        <v>27</v>
      </c>
    </row>
    <row r="5" spans="1:28" x14ac:dyDescent="0.25">
      <c r="A5" s="8" t="s">
        <v>26</v>
      </c>
      <c r="B5" s="7" t="s">
        <v>10</v>
      </c>
      <c r="C5" s="7"/>
      <c r="D5" s="1" t="s">
        <v>1</v>
      </c>
      <c r="E5" s="1" t="s">
        <v>25</v>
      </c>
      <c r="F5" s="4">
        <v>0.15379999999999999</v>
      </c>
      <c r="G5" s="5">
        <v>0</v>
      </c>
      <c r="H5" s="4">
        <v>0.24</v>
      </c>
    </row>
    <row r="6" spans="1:28" x14ac:dyDescent="0.25">
      <c r="A6" s="8"/>
      <c r="B6" s="13" t="s">
        <v>24</v>
      </c>
      <c r="C6" s="7"/>
      <c r="D6" s="1" t="s">
        <v>1</v>
      </c>
      <c r="E6" s="1" t="s">
        <v>23</v>
      </c>
      <c r="F6" s="14">
        <v>0.15379999999999999</v>
      </c>
      <c r="G6" s="14">
        <v>0.65</v>
      </c>
      <c r="H6" s="14">
        <v>0.24</v>
      </c>
      <c r="J6" s="13" t="s">
        <v>23</v>
      </c>
    </row>
    <row r="7" spans="1:28" x14ac:dyDescent="0.25">
      <c r="A7" s="8"/>
      <c r="B7" s="7" t="s">
        <v>1</v>
      </c>
      <c r="C7" s="7"/>
      <c r="D7" s="1" t="s">
        <v>7</v>
      </c>
      <c r="E7" s="1" t="s">
        <v>18</v>
      </c>
      <c r="F7" s="5"/>
      <c r="G7" s="5"/>
      <c r="H7" s="5">
        <v>19.792000000000002</v>
      </c>
    </row>
    <row r="8" spans="1:28" customFormat="1" x14ac:dyDescent="0.25">
      <c r="A8" s="22"/>
      <c r="B8" s="23" t="s">
        <v>37</v>
      </c>
      <c r="C8" s="23"/>
      <c r="D8" t="s">
        <v>38</v>
      </c>
      <c r="F8" s="24"/>
      <c r="G8" s="24"/>
      <c r="H8" s="24">
        <v>10</v>
      </c>
    </row>
    <row r="9" spans="1:28" x14ac:dyDescent="0.25">
      <c r="A9" s="8"/>
      <c r="B9" s="7" t="s">
        <v>22</v>
      </c>
      <c r="C9" s="7"/>
      <c r="D9" s="1" t="s">
        <v>21</v>
      </c>
      <c r="F9" s="5"/>
      <c r="G9" s="5"/>
      <c r="H9" s="5">
        <v>50</v>
      </c>
    </row>
    <row r="10" spans="1:28" x14ac:dyDescent="0.25">
      <c r="A10" s="8" t="s">
        <v>20</v>
      </c>
      <c r="B10" s="7" t="s">
        <v>10</v>
      </c>
      <c r="C10" s="7"/>
      <c r="D10" s="1" t="s">
        <v>1</v>
      </c>
      <c r="F10" s="4">
        <v>-1.3243331220516996</v>
      </c>
      <c r="G10" s="4">
        <v>0.45175517503754498</v>
      </c>
      <c r="H10" s="4">
        <v>0.88921153885340298</v>
      </c>
    </row>
    <row r="11" spans="1:28" x14ac:dyDescent="0.25">
      <c r="A11" s="8"/>
      <c r="B11" s="7" t="s">
        <v>19</v>
      </c>
      <c r="C11" s="7"/>
      <c r="D11" s="1" t="s">
        <v>4</v>
      </c>
      <c r="F11" s="5"/>
      <c r="G11" s="5"/>
      <c r="H11" s="5">
        <v>0.35289999999999999</v>
      </c>
    </row>
    <row r="12" spans="1:28" x14ac:dyDescent="0.25">
      <c r="A12" s="8"/>
      <c r="B12" s="7" t="s">
        <v>1</v>
      </c>
      <c r="C12" s="7"/>
      <c r="D12" s="1" t="s">
        <v>7</v>
      </c>
      <c r="E12" s="1" t="s">
        <v>18</v>
      </c>
      <c r="F12" s="5"/>
      <c r="G12" s="5"/>
      <c r="H12" s="5">
        <v>1</v>
      </c>
    </row>
    <row r="13" spans="1:28" x14ac:dyDescent="0.25">
      <c r="A13" s="8"/>
      <c r="B13" s="7" t="s">
        <v>17</v>
      </c>
      <c r="C13" s="7"/>
      <c r="F13" s="5"/>
      <c r="G13" s="5"/>
      <c r="H13" s="12" t="s">
        <v>16</v>
      </c>
    </row>
    <row r="14" spans="1:28" x14ac:dyDescent="0.25">
      <c r="A14" s="8" t="s">
        <v>15</v>
      </c>
      <c r="B14" s="7" t="s">
        <v>1</v>
      </c>
      <c r="C14" s="7"/>
      <c r="D14" s="1" t="s">
        <v>7</v>
      </c>
      <c r="F14" s="5"/>
      <c r="G14" s="5"/>
      <c r="H14" s="6">
        <v>0.2</v>
      </c>
      <c r="I14" s="10"/>
      <c r="J14" s="10"/>
      <c r="K14" s="10"/>
      <c r="L14" s="10"/>
      <c r="M14" s="10"/>
      <c r="N14" s="10"/>
      <c r="O14" s="10"/>
      <c r="P14" s="10"/>
      <c r="Q14" s="10"/>
      <c r="R14" s="11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x14ac:dyDescent="0.25">
      <c r="A15" s="8"/>
      <c r="B15" s="7" t="s">
        <v>12</v>
      </c>
      <c r="C15" s="7"/>
      <c r="D15" s="1" t="s">
        <v>1</v>
      </c>
      <c r="F15" s="5"/>
      <c r="G15" s="5"/>
      <c r="H15" s="6">
        <v>0.4</v>
      </c>
      <c r="I15" s="10"/>
      <c r="J15" s="10"/>
      <c r="K15" s="10"/>
      <c r="L15" s="10"/>
      <c r="M15" s="10"/>
      <c r="N15" s="10"/>
      <c r="O15" s="10"/>
      <c r="P15" s="10"/>
      <c r="Q15" s="10"/>
      <c r="R15" s="11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x14ac:dyDescent="0.25">
      <c r="A16" s="8" t="s">
        <v>14</v>
      </c>
      <c r="B16" s="7" t="s">
        <v>1</v>
      </c>
      <c r="C16" s="7"/>
      <c r="D16" s="1" t="s">
        <v>7</v>
      </c>
      <c r="F16" s="5"/>
      <c r="G16" s="5"/>
      <c r="H16" s="5">
        <v>0.2</v>
      </c>
    </row>
    <row r="17" spans="1:28" x14ac:dyDescent="0.25">
      <c r="A17" s="8" t="s">
        <v>13</v>
      </c>
      <c r="B17" s="7" t="s">
        <v>1</v>
      </c>
      <c r="C17" s="7"/>
      <c r="D17" s="1" t="s">
        <v>7</v>
      </c>
      <c r="H17" s="5">
        <v>0.2</v>
      </c>
    </row>
    <row r="18" spans="1:28" x14ac:dyDescent="0.25">
      <c r="A18" s="8"/>
      <c r="B18" s="7" t="s">
        <v>12</v>
      </c>
      <c r="C18" s="7"/>
      <c r="D18" s="1" t="s">
        <v>1</v>
      </c>
      <c r="H18" s="1">
        <v>0.4</v>
      </c>
    </row>
    <row r="19" spans="1:28" x14ac:dyDescent="0.25">
      <c r="A19" s="8" t="s">
        <v>11</v>
      </c>
      <c r="B19" s="7" t="s">
        <v>10</v>
      </c>
      <c r="C19" s="7"/>
      <c r="D19" s="1" t="s">
        <v>1</v>
      </c>
      <c r="F19" s="1">
        <v>0.13380000000000003</v>
      </c>
      <c r="G19" s="1">
        <v>0.2</v>
      </c>
      <c r="H19" s="1">
        <v>0.20535898384862206</v>
      </c>
      <c r="L19" s="1" t="s">
        <v>9</v>
      </c>
    </row>
    <row r="20" spans="1:28" x14ac:dyDescent="0.25">
      <c r="A20" s="8"/>
      <c r="B20" s="7" t="s">
        <v>8</v>
      </c>
      <c r="C20" s="7"/>
      <c r="D20" s="1" t="s">
        <v>1</v>
      </c>
      <c r="H20" s="1">
        <v>9.6000000000000002E-2</v>
      </c>
    </row>
    <row r="21" spans="1:28" x14ac:dyDescent="0.25">
      <c r="A21" s="8"/>
      <c r="B21" s="7" t="s">
        <v>1</v>
      </c>
      <c r="C21" s="7"/>
      <c r="D21" s="1" t="s">
        <v>7</v>
      </c>
      <c r="H21" s="1">
        <v>0.05</v>
      </c>
    </row>
    <row r="22" spans="1:28" x14ac:dyDescent="0.25">
      <c r="A22" s="8" t="s">
        <v>6</v>
      </c>
      <c r="B22" s="7" t="s">
        <v>5</v>
      </c>
      <c r="C22" s="7"/>
      <c r="D22" s="1" t="s">
        <v>4</v>
      </c>
      <c r="E22" s="1" t="s">
        <v>3</v>
      </c>
      <c r="F22" s="5"/>
      <c r="G22" s="5"/>
      <c r="H22" s="9">
        <f t="shared" ref="H22:AB22" si="0">H27*$H$28</f>
        <v>-3.1415700000000002</v>
      </c>
      <c r="I22" s="9">
        <f t="shared" si="0"/>
        <v>-2.8274130000000004</v>
      </c>
      <c r="J22" s="9">
        <f t="shared" si="0"/>
        <v>-2.5132560000000002</v>
      </c>
      <c r="K22" s="9">
        <f t="shared" si="0"/>
        <v>-2.1990990000000004</v>
      </c>
      <c r="L22" s="9">
        <f t="shared" si="0"/>
        <v>-1.8849420000000003</v>
      </c>
      <c r="M22" s="9">
        <f t="shared" si="0"/>
        <v>-1.5707850000000001</v>
      </c>
      <c r="N22" s="9">
        <f t="shared" si="0"/>
        <v>-1.2566280000000001</v>
      </c>
      <c r="O22" s="9">
        <f t="shared" si="0"/>
        <v>-0.94247100000000017</v>
      </c>
      <c r="P22" s="9">
        <f t="shared" si="0"/>
        <v>-0.62831400000000004</v>
      </c>
      <c r="Q22" s="9">
        <f t="shared" si="0"/>
        <v>-0.31415700000000002</v>
      </c>
      <c r="R22" s="9">
        <f t="shared" si="0"/>
        <v>0</v>
      </c>
      <c r="S22" s="9">
        <f t="shared" si="0"/>
        <v>0.31415700000000002</v>
      </c>
      <c r="T22" s="9">
        <f t="shared" si="0"/>
        <v>0.62831400000000004</v>
      </c>
      <c r="U22" s="9">
        <f t="shared" si="0"/>
        <v>0.94247100000000017</v>
      </c>
      <c r="V22" s="9">
        <f t="shared" si="0"/>
        <v>1.2566280000000001</v>
      </c>
      <c r="W22" s="9">
        <f t="shared" si="0"/>
        <v>1.5707850000000001</v>
      </c>
      <c r="X22" s="9">
        <f t="shared" si="0"/>
        <v>1.8849420000000003</v>
      </c>
      <c r="Y22" s="9">
        <f t="shared" si="0"/>
        <v>2.1990990000000004</v>
      </c>
      <c r="Z22" s="9">
        <f t="shared" si="0"/>
        <v>2.5132560000000002</v>
      </c>
      <c r="AA22" s="9">
        <f t="shared" si="0"/>
        <v>2.8274130000000004</v>
      </c>
      <c r="AB22" s="9">
        <f t="shared" si="0"/>
        <v>3.1415700000000002</v>
      </c>
    </row>
    <row r="23" spans="1:28" x14ac:dyDescent="0.25">
      <c r="A23" s="8"/>
      <c r="B23" s="7" t="s">
        <v>2</v>
      </c>
      <c r="C23" s="7"/>
      <c r="D23" s="1" t="s">
        <v>1</v>
      </c>
      <c r="E23" s="1" t="s">
        <v>0</v>
      </c>
      <c r="F23" s="5"/>
      <c r="G23" s="5"/>
      <c r="H23" s="6">
        <f t="shared" ref="H23:AB23" si="1">H25*$H$18</f>
        <v>-0.12</v>
      </c>
      <c r="I23" s="6">
        <f t="shared" si="1"/>
        <v>-0.10920000000000002</v>
      </c>
      <c r="J23" s="6">
        <f t="shared" si="1"/>
        <v>-9.7440000000000013E-2</v>
      </c>
      <c r="K23" s="6">
        <f t="shared" si="1"/>
        <v>-8.448E-2</v>
      </c>
      <c r="L23" s="6">
        <f t="shared" si="1"/>
        <v>-7.1120000000000003E-2</v>
      </c>
      <c r="M23" s="6">
        <f t="shared" si="1"/>
        <v>-5.8480000000000004E-2</v>
      </c>
      <c r="N23" s="6">
        <f t="shared" si="1"/>
        <v>-4.7120000000000002E-2</v>
      </c>
      <c r="O23" s="6">
        <f t="shared" si="1"/>
        <v>-3.6480000000000005E-2</v>
      </c>
      <c r="P23" s="6">
        <f t="shared" si="1"/>
        <v>-2.5440000000000004E-2</v>
      </c>
      <c r="Q23" s="6">
        <f t="shared" si="1"/>
        <v>-1.3200000000000002E-2</v>
      </c>
      <c r="R23" s="6">
        <f t="shared" si="1"/>
        <v>0</v>
      </c>
      <c r="S23" s="6">
        <f t="shared" si="1"/>
        <v>1.3200000000000002E-2</v>
      </c>
      <c r="T23" s="6">
        <f t="shared" si="1"/>
        <v>2.5440000000000004E-2</v>
      </c>
      <c r="U23" s="6">
        <f t="shared" si="1"/>
        <v>3.6480000000000005E-2</v>
      </c>
      <c r="V23" s="6">
        <f t="shared" si="1"/>
        <v>4.7120000000000002E-2</v>
      </c>
      <c r="W23" s="6">
        <f t="shared" si="1"/>
        <v>5.852000000000001E-2</v>
      </c>
      <c r="X23" s="6">
        <f t="shared" si="1"/>
        <v>7.1120000000000003E-2</v>
      </c>
      <c r="Y23" s="6">
        <f t="shared" si="1"/>
        <v>8.448E-2</v>
      </c>
      <c r="Z23" s="6">
        <f t="shared" si="1"/>
        <v>9.7440000000000013E-2</v>
      </c>
      <c r="AA23" s="6">
        <f t="shared" si="1"/>
        <v>0.10920000000000002</v>
      </c>
      <c r="AB23" s="6">
        <f t="shared" si="1"/>
        <v>0.12</v>
      </c>
    </row>
    <row r="24" spans="1:28" x14ac:dyDescent="0.25">
      <c r="F24" s="4"/>
      <c r="G24" s="4"/>
      <c r="H24" s="4"/>
    </row>
    <row r="25" spans="1:28" x14ac:dyDescent="0.25">
      <c r="F25" s="4"/>
      <c r="G25" s="4"/>
      <c r="H25" s="5">
        <v>-0.3</v>
      </c>
      <c r="I25" s="1">
        <v>-0.27300000000000002</v>
      </c>
      <c r="J25" s="1">
        <v>-0.24360000000000001</v>
      </c>
      <c r="K25" s="1">
        <v>-0.2112</v>
      </c>
      <c r="L25" s="1">
        <v>-0.17780000000000001</v>
      </c>
      <c r="M25" s="1">
        <v>-0.1462</v>
      </c>
      <c r="N25" s="1">
        <v>-0.1178</v>
      </c>
      <c r="O25" s="1">
        <v>-9.1200000000000003E-2</v>
      </c>
      <c r="P25" s="1">
        <v>-6.3600000000000004E-2</v>
      </c>
      <c r="Q25" s="1">
        <v>-3.3000000000000002E-2</v>
      </c>
      <c r="R25" s="1">
        <v>0</v>
      </c>
      <c r="S25" s="1">
        <v>3.3000000000000002E-2</v>
      </c>
      <c r="T25" s="1">
        <v>6.3600000000000004E-2</v>
      </c>
      <c r="U25" s="1">
        <v>9.1200000000000003E-2</v>
      </c>
      <c r="V25" s="1">
        <v>0.1178</v>
      </c>
      <c r="W25" s="1">
        <v>0.14630000000000001</v>
      </c>
      <c r="X25" s="1">
        <v>0.17780000000000001</v>
      </c>
      <c r="Y25" s="1">
        <v>0.2112</v>
      </c>
      <c r="Z25" s="1">
        <v>0.24360000000000001</v>
      </c>
      <c r="AA25" s="1">
        <v>0.27300000000000002</v>
      </c>
      <c r="AB25" s="1">
        <v>0.3</v>
      </c>
    </row>
    <row r="26" spans="1:28" x14ac:dyDescent="0.25">
      <c r="F26" s="4"/>
      <c r="G26" s="4"/>
      <c r="H26" s="1">
        <f>0.6</f>
        <v>0.6</v>
      </c>
    </row>
    <row r="27" spans="1:28" x14ac:dyDescent="0.25">
      <c r="H27" s="5">
        <v>-180</v>
      </c>
      <c r="I27" s="1">
        <v>-162</v>
      </c>
      <c r="J27" s="1">
        <v>-144</v>
      </c>
      <c r="K27" s="1">
        <v>-126</v>
      </c>
      <c r="L27" s="1">
        <v>-108</v>
      </c>
      <c r="M27" s="1">
        <v>-90</v>
      </c>
      <c r="N27" s="1">
        <v>-72</v>
      </c>
      <c r="O27" s="1">
        <v>-54</v>
      </c>
      <c r="P27" s="1">
        <v>-36</v>
      </c>
      <c r="Q27" s="1">
        <v>-18</v>
      </c>
      <c r="R27" s="1">
        <v>0</v>
      </c>
      <c r="S27" s="1">
        <v>18</v>
      </c>
      <c r="T27" s="1">
        <v>36</v>
      </c>
      <c r="U27" s="1">
        <v>54</v>
      </c>
      <c r="V27" s="1">
        <v>72</v>
      </c>
      <c r="W27" s="1">
        <v>90</v>
      </c>
      <c r="X27" s="1">
        <v>108</v>
      </c>
      <c r="Y27" s="1">
        <v>126</v>
      </c>
      <c r="Z27" s="1">
        <v>144</v>
      </c>
      <c r="AA27" s="1">
        <v>162</v>
      </c>
      <c r="AB27" s="1">
        <v>180</v>
      </c>
    </row>
    <row r="28" spans="1:28" x14ac:dyDescent="0.25">
      <c r="F28" s="4"/>
      <c r="G28" s="4"/>
      <c r="H28" s="1">
        <f>3.14157/180</f>
        <v>1.7453166666666669E-2</v>
      </c>
    </row>
    <row r="29" spans="1:28" x14ac:dyDescent="0.25">
      <c r="F29" s="4"/>
      <c r="G29" s="4"/>
      <c r="H29" s="4"/>
    </row>
    <row r="30" spans="1:28" x14ac:dyDescent="0.25">
      <c r="F30" s="4"/>
      <c r="G30" s="4"/>
      <c r="H30" s="4"/>
    </row>
    <row r="31" spans="1:28" x14ac:dyDescent="0.25">
      <c r="F31" s="4"/>
      <c r="G31" s="4"/>
      <c r="H31" s="4"/>
    </row>
    <row r="32" spans="1:28" x14ac:dyDescent="0.25">
      <c r="F32" s="4"/>
      <c r="G32" s="4"/>
      <c r="H32" s="4"/>
    </row>
    <row r="33" spans="2:8" x14ac:dyDescent="0.25">
      <c r="F33" s="4"/>
      <c r="G33" s="4"/>
      <c r="H33" s="4"/>
    </row>
    <row r="34" spans="2:8" x14ac:dyDescent="0.25">
      <c r="B34" s="2"/>
      <c r="F34" s="4"/>
      <c r="G34" s="4"/>
      <c r="H34" s="4"/>
    </row>
    <row r="35" spans="2:8" x14ac:dyDescent="0.25">
      <c r="B35" s="2"/>
      <c r="F35" s="4"/>
      <c r="G35" s="4"/>
      <c r="H35" s="4"/>
    </row>
    <row r="36" spans="2:8" x14ac:dyDescent="0.25">
      <c r="F36" s="4"/>
      <c r="G36" s="4"/>
      <c r="H36" s="4"/>
    </row>
    <row r="37" spans="2:8" x14ac:dyDescent="0.25">
      <c r="F37" s="4"/>
      <c r="G37" s="4"/>
      <c r="H37" s="4"/>
    </row>
    <row r="38" spans="2:8" x14ac:dyDescent="0.25">
      <c r="B38" s="2"/>
      <c r="H38" s="3"/>
    </row>
    <row r="39" spans="2:8" x14ac:dyDescent="0.25">
      <c r="B39" s="2"/>
      <c r="H39" s="3"/>
    </row>
  </sheetData>
  <conditionalFormatting sqref="A38:A39">
    <cfRule type="cellIs" dxfId="5" priority="5" operator="equal">
      <formula>"class"</formula>
    </cfRule>
  </conditionalFormatting>
  <conditionalFormatting sqref="A4:B7 A9:B23">
    <cfRule type="cellIs" dxfId="4" priority="4" operator="equal">
      <formula>"class"</formula>
    </cfRule>
  </conditionalFormatting>
  <conditionalFormatting sqref="A34:B37">
    <cfRule type="cellIs" dxfId="3" priority="6" operator="equal">
      <formula>"class"</formula>
    </cfRule>
  </conditionalFormatting>
  <conditionalFormatting sqref="E5 E7 E9:E23">
    <cfRule type="cellIs" dxfId="2" priority="3" operator="equal">
      <formula>"class"</formula>
    </cfRule>
  </conditionalFormatting>
  <conditionalFormatting sqref="A8:B8">
    <cfRule type="cellIs" dxfId="1" priority="2" operator="equal">
      <formula>"class"</formula>
    </cfRule>
  </conditionalFormatting>
  <conditionalFormatting sqref="E8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RDrivenShafts_HambaLG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2025-10-25T19:22:30Z</dcterms:created>
  <dcterms:modified xsi:type="dcterms:W3CDTF">2026-06-11T16:23:32Z</dcterms:modified>
</cp:coreProperties>
</file>