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Others\smiller\ssvt_srcR22a\Libraries\Vehicle\Steer\Rack\"/>
    </mc:Choice>
  </mc:AlternateContent>
  <xr:revisionPtr revIDLastSave="0" documentId="13_ncr:1_{559887A5-0FE3-438C-B162-2726A704A34A}" xr6:coauthVersionLast="47" xr6:coauthVersionMax="47" xr10:uidLastSave="{00000000-0000-0000-0000-000000000000}"/>
  <bookViews>
    <workbookView xWindow="6480" yWindow="810" windowWidth="21600" windowHeight="13230" tabRatio="839" xr2:uid="{3FA59F9D-D9D3-4E28-B3CE-9BFC80E89258}"/>
  </bookViews>
  <sheets>
    <sheet name="Sedan_HambaLG_f" sheetId="1" r:id="rId1"/>
    <sheet name="Sedan_HambaLG_r" sheetId="2" r:id="rId2"/>
    <sheet name="Rack_Hamba_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3" l="1"/>
  <c r="AB11" i="3" s="1"/>
  <c r="H17" i="3"/>
  <c r="Y10" i="3" s="1"/>
  <c r="AA10" i="3" l="1"/>
  <c r="AB10" i="3"/>
  <c r="I11" i="3"/>
  <c r="J11" i="3"/>
  <c r="H10" i="3"/>
  <c r="K11" i="3"/>
  <c r="I10" i="3"/>
  <c r="L11" i="3"/>
  <c r="J10" i="3"/>
  <c r="M11" i="3"/>
  <c r="K10" i="3"/>
  <c r="N11" i="3"/>
  <c r="L10" i="3"/>
  <c r="O11" i="3"/>
  <c r="H11" i="3"/>
  <c r="M10" i="3"/>
  <c r="P11" i="3"/>
  <c r="Z10" i="3"/>
  <c r="N10" i="3"/>
  <c r="Q11" i="3"/>
  <c r="O10" i="3"/>
  <c r="R11" i="3"/>
  <c r="P10" i="3"/>
  <c r="S11" i="3"/>
  <c r="Q10" i="3"/>
  <c r="T11" i="3"/>
  <c r="R10" i="3"/>
  <c r="U11" i="3"/>
  <c r="S10" i="3"/>
  <c r="V11" i="3"/>
  <c r="T10" i="3"/>
  <c r="W11" i="3"/>
  <c r="U10" i="3"/>
  <c r="X11" i="3"/>
  <c r="V10" i="3"/>
  <c r="Y11" i="3"/>
  <c r="W10" i="3"/>
  <c r="Z11" i="3"/>
  <c r="X10" i="3"/>
  <c r="AA11" i="3"/>
  <c r="H15" i="2"/>
  <c r="AB10" i="2" s="1"/>
  <c r="Y10" i="2"/>
  <c r="U10" i="2"/>
  <c r="Q10" i="2"/>
  <c r="M10" i="2"/>
  <c r="I10" i="2"/>
  <c r="H15" i="1"/>
  <c r="AA10" i="1" s="1"/>
  <c r="AB10" i="1" l="1"/>
  <c r="R10" i="1"/>
  <c r="J10" i="1"/>
  <c r="N10" i="1"/>
  <c r="V10" i="1"/>
  <c r="H10" i="1"/>
  <c r="L10" i="1"/>
  <c r="P10" i="1"/>
  <c r="T10" i="1"/>
  <c r="X10" i="1"/>
  <c r="K10" i="1"/>
  <c r="O10" i="1"/>
  <c r="S10" i="1"/>
  <c r="W10" i="1"/>
  <c r="I10" i="1"/>
  <c r="M10" i="1"/>
  <c r="Q10" i="1"/>
  <c r="U10" i="1"/>
  <c r="Y10" i="1"/>
  <c r="Z10" i="1"/>
  <c r="J10" i="2"/>
  <c r="N10" i="2"/>
  <c r="R10" i="2"/>
  <c r="V10" i="2"/>
  <c r="Z10" i="2"/>
  <c r="K10" i="2"/>
  <c r="O10" i="2"/>
  <c r="S10" i="2"/>
  <c r="W10" i="2"/>
  <c r="AA10" i="2"/>
  <c r="H10" i="2"/>
  <c r="L10" i="2"/>
  <c r="P10" i="2"/>
  <c r="T10" i="2"/>
  <c r="X10" i="2"/>
</calcChain>
</file>

<file path=xl/sharedStrings.xml><?xml version="1.0" encoding="utf-8"?>
<sst xmlns="http://schemas.openxmlformats.org/spreadsheetml/2006/main" count="99" uniqueCount="30">
  <si>
    <t>Units</t>
  </si>
  <si>
    <t>Comments</t>
  </si>
  <si>
    <t>x</t>
  </si>
  <si>
    <t>y</t>
  </si>
  <si>
    <t>z or scalar</t>
  </si>
  <si>
    <t>Type</t>
  </si>
  <si>
    <t>Steer</t>
  </si>
  <si>
    <t>Instance</t>
  </si>
  <si>
    <t>class</t>
  </si>
  <si>
    <t>Rack</t>
  </si>
  <si>
    <t>sMount</t>
  </si>
  <si>
    <t>m</t>
  </si>
  <si>
    <t>HPRack</t>
  </si>
  <si>
    <t>sOutboard</t>
  </si>
  <si>
    <t>kg</t>
  </si>
  <si>
    <t>Mass</t>
  </si>
  <si>
    <t>fActuatorCutoff</t>
  </si>
  <si>
    <t>Hz</t>
  </si>
  <si>
    <t>Ratio Table</t>
  </si>
  <si>
    <t>aWheel</t>
  </si>
  <si>
    <t>rad</t>
  </si>
  <si>
    <t>Wheel Angle</t>
  </si>
  <si>
    <t>xRack</t>
  </si>
  <si>
    <t>Rack Displacement</t>
  </si>
  <si>
    <t>Rack_Sedan_HambaLG_f</t>
  </si>
  <si>
    <t>Rack_Sedan_HambaLG_r</t>
  </si>
  <si>
    <t>Rack_Sedan_Hamba_r</t>
  </si>
  <si>
    <t>Must  be consistent with linkage trackrod inboard point</t>
  </si>
  <si>
    <t>d</t>
  </si>
  <si>
    <t>N/(m/s)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</si>
</sst>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99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left"/>
    </xf>
    <xf numFmtId="0" fontId="0" fillId="3" borderId="0" xfId="0" applyFill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0" fontId="0" fillId="4" borderId="0" xfId="0" applyFill="1"/>
    <xf numFmtId="2" fontId="2" fillId="4" borderId="0" xfId="0" applyNumberFormat="1" applyFont="1" applyFill="1"/>
    <xf numFmtId="2" fontId="2" fillId="4" borderId="0" xfId="0" applyNumberFormat="1" applyFont="1" applyFill="1" applyAlignment="1">
      <alignment horizontal="right"/>
    </xf>
    <xf numFmtId="0" fontId="2" fillId="0" borderId="0" xfId="0" applyFont="1"/>
    <xf numFmtId="0" fontId="0" fillId="5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64" fontId="2" fillId="0" borderId="0" xfId="0" applyNumberFormat="1" applyFont="1"/>
    <xf numFmtId="1" fontId="2" fillId="0" borderId="0" xfId="0" applyNumberFormat="1" applyFont="1"/>
    <xf numFmtId="164" fontId="2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/>
    </xf>
    <xf numFmtId="2" fontId="0" fillId="0" borderId="0" xfId="0" applyNumberFormat="1"/>
    <xf numFmtId="2" fontId="2" fillId="5" borderId="0" xfId="0" applyNumberFormat="1" applyFont="1" applyFill="1"/>
  </cellXfs>
  <cellStyles count="1">
    <cellStyle name="Normal" xfId="0" builtinId="0"/>
  </cellStyles>
  <dxfs count="11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42468-6E33-4D03-9D10-CE47EAE6C32C}">
  <sheetPr>
    <tabColor theme="8" tint="-0.249977111117893"/>
  </sheetPr>
  <dimension ref="A1:AB27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C17" sqref="C17"/>
    </sheetView>
  </sheetViews>
  <sheetFormatPr defaultRowHeight="15" x14ac:dyDescent="0.25"/>
  <cols>
    <col min="1" max="1" width="14.42578125" style="13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15" width="6.7109375" customWidth="1"/>
    <col min="16" max="16" width="7.7109375" bestFit="1" customWidth="1"/>
    <col min="17" max="17" width="6.7109375" bestFit="1" customWidth="1"/>
    <col min="18" max="18" width="2" bestFit="1" customWidth="1"/>
    <col min="19" max="19" width="6" bestFit="1" customWidth="1"/>
    <col min="20" max="26" width="7" bestFit="1" customWidth="1"/>
    <col min="27" max="27" width="6" bestFit="1" customWidth="1"/>
    <col min="28" max="28" width="4" bestFit="1" customWidth="1"/>
  </cols>
  <sheetData>
    <row r="1" spans="1:28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28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28" x14ac:dyDescent="0.25">
      <c r="A3" s="4" t="s">
        <v>7</v>
      </c>
      <c r="B3" s="5"/>
      <c r="C3" s="5"/>
      <c r="F3" s="6"/>
      <c r="G3" s="6"/>
      <c r="H3" s="7" t="s">
        <v>24</v>
      </c>
    </row>
    <row r="4" spans="1:28" x14ac:dyDescent="0.25">
      <c r="A4" s="4" t="s">
        <v>8</v>
      </c>
      <c r="B4" s="8"/>
      <c r="C4" s="8"/>
      <c r="D4" s="8"/>
      <c r="E4" s="8"/>
      <c r="F4" s="9"/>
      <c r="G4" s="9"/>
      <c r="H4" s="10" t="s">
        <v>9</v>
      </c>
    </row>
    <row r="5" spans="1:28" x14ac:dyDescent="0.25">
      <c r="A5" s="4" t="s">
        <v>9</v>
      </c>
      <c r="B5" s="5" t="s">
        <v>10</v>
      </c>
      <c r="C5" s="5"/>
      <c r="D5" t="s">
        <v>11</v>
      </c>
      <c r="E5" t="s">
        <v>12</v>
      </c>
      <c r="F5" s="6">
        <v>0.15379999999999999</v>
      </c>
      <c r="G5" s="11">
        <v>0</v>
      </c>
      <c r="H5" s="6">
        <v>0.24</v>
      </c>
    </row>
    <row r="6" spans="1:28" x14ac:dyDescent="0.25">
      <c r="A6" s="4"/>
      <c r="B6" s="12" t="s">
        <v>13</v>
      </c>
      <c r="C6" s="5"/>
      <c r="D6" t="s">
        <v>11</v>
      </c>
      <c r="E6" t="s">
        <v>27</v>
      </c>
      <c r="F6" s="20">
        <v>0.15379999999999999</v>
      </c>
      <c r="G6" s="20">
        <v>0.65</v>
      </c>
      <c r="H6" s="20">
        <v>0.24</v>
      </c>
      <c r="J6" s="12" t="s">
        <v>27</v>
      </c>
    </row>
    <row r="7" spans="1:28" x14ac:dyDescent="0.25">
      <c r="A7" s="4"/>
      <c r="B7" s="5" t="s">
        <v>11</v>
      </c>
      <c r="C7" s="5"/>
      <c r="D7" t="s">
        <v>14</v>
      </c>
      <c r="E7" t="s">
        <v>15</v>
      </c>
      <c r="F7" s="11"/>
      <c r="G7" s="11"/>
      <c r="H7" s="11">
        <v>19.792000000000002</v>
      </c>
    </row>
    <row r="8" spans="1:28" x14ac:dyDescent="0.25">
      <c r="A8" s="4"/>
      <c r="B8" s="5" t="s">
        <v>28</v>
      </c>
      <c r="C8" s="5"/>
      <c r="D8" t="s">
        <v>29</v>
      </c>
      <c r="F8" s="11"/>
      <c r="G8" s="11"/>
      <c r="H8" s="11">
        <v>10</v>
      </c>
    </row>
    <row r="9" spans="1:28" x14ac:dyDescent="0.25">
      <c r="A9" s="4"/>
      <c r="B9" s="5" t="s">
        <v>16</v>
      </c>
      <c r="C9" s="5"/>
      <c r="D9" t="s">
        <v>17</v>
      </c>
      <c r="F9" s="11"/>
      <c r="G9" s="11"/>
      <c r="H9" s="11">
        <v>50</v>
      </c>
    </row>
    <row r="10" spans="1:28" x14ac:dyDescent="0.25">
      <c r="A10" s="4" t="s">
        <v>18</v>
      </c>
      <c r="B10" s="5" t="s">
        <v>19</v>
      </c>
      <c r="C10" s="5"/>
      <c r="D10" t="s">
        <v>20</v>
      </c>
      <c r="E10" t="s">
        <v>21</v>
      </c>
      <c r="F10" s="11"/>
      <c r="G10" s="11"/>
      <c r="H10" s="11">
        <f>H14*$H$15</f>
        <v>-3.1415700000000002</v>
      </c>
      <c r="I10" s="11">
        <f t="shared" ref="I10:AB10" si="0">I14*$H$15</f>
        <v>-2.8274130000000004</v>
      </c>
      <c r="J10" s="11">
        <f t="shared" si="0"/>
        <v>-2.5132560000000002</v>
      </c>
      <c r="K10" s="11">
        <f t="shared" si="0"/>
        <v>-2.1990990000000004</v>
      </c>
      <c r="L10" s="11">
        <f t="shared" si="0"/>
        <v>-1.8849420000000003</v>
      </c>
      <c r="M10" s="11">
        <f t="shared" si="0"/>
        <v>-1.5707850000000001</v>
      </c>
      <c r="N10" s="11">
        <f t="shared" si="0"/>
        <v>-1.2566280000000001</v>
      </c>
      <c r="O10" s="11">
        <f t="shared" si="0"/>
        <v>-0.94247100000000017</v>
      </c>
      <c r="P10" s="11">
        <f t="shared" si="0"/>
        <v>-0.62831400000000004</v>
      </c>
      <c r="Q10" s="11">
        <f t="shared" si="0"/>
        <v>-0.31415700000000002</v>
      </c>
      <c r="R10" s="11">
        <f t="shared" si="0"/>
        <v>0</v>
      </c>
      <c r="S10" s="11">
        <f t="shared" si="0"/>
        <v>0.31415700000000002</v>
      </c>
      <c r="T10" s="11">
        <f t="shared" si="0"/>
        <v>0.62831400000000004</v>
      </c>
      <c r="U10" s="11">
        <f t="shared" si="0"/>
        <v>0.94247100000000017</v>
      </c>
      <c r="V10" s="11">
        <f t="shared" si="0"/>
        <v>1.2566280000000001</v>
      </c>
      <c r="W10" s="11">
        <f t="shared" si="0"/>
        <v>1.5707850000000001</v>
      </c>
      <c r="X10" s="11">
        <f t="shared" si="0"/>
        <v>1.8849420000000003</v>
      </c>
      <c r="Y10" s="11">
        <f t="shared" si="0"/>
        <v>2.1990990000000004</v>
      </c>
      <c r="Z10" s="11">
        <f t="shared" si="0"/>
        <v>2.5132560000000002</v>
      </c>
      <c r="AA10" s="11">
        <f t="shared" si="0"/>
        <v>2.8274130000000004</v>
      </c>
      <c r="AB10" s="11">
        <f t="shared" si="0"/>
        <v>3.1415700000000002</v>
      </c>
    </row>
    <row r="11" spans="1:28" x14ac:dyDescent="0.25">
      <c r="A11" s="4"/>
      <c r="B11" s="5" t="s">
        <v>22</v>
      </c>
      <c r="C11" s="5"/>
      <c r="D11" t="s">
        <v>11</v>
      </c>
      <c r="E11" t="s">
        <v>23</v>
      </c>
      <c r="F11" s="11"/>
      <c r="G11" s="11"/>
      <c r="H11" s="11">
        <v>-0.3</v>
      </c>
      <c r="I11">
        <v>-0.27300000000000002</v>
      </c>
      <c r="J11">
        <v>-0.24360000000000001</v>
      </c>
      <c r="K11">
        <v>-0.2112</v>
      </c>
      <c r="L11">
        <v>-0.17780000000000001</v>
      </c>
      <c r="M11">
        <v>-0.1462</v>
      </c>
      <c r="N11">
        <v>-0.1178</v>
      </c>
      <c r="O11">
        <v>-9.1200000000000003E-2</v>
      </c>
      <c r="P11">
        <v>-6.3600000000000004E-2</v>
      </c>
      <c r="Q11">
        <v>-3.3000000000000002E-2</v>
      </c>
      <c r="R11">
        <v>0</v>
      </c>
      <c r="S11">
        <v>3.3000000000000002E-2</v>
      </c>
      <c r="T11">
        <v>6.3600000000000004E-2</v>
      </c>
      <c r="U11">
        <v>9.1200000000000003E-2</v>
      </c>
      <c r="V11">
        <v>0.1178</v>
      </c>
      <c r="W11">
        <v>0.14630000000000001</v>
      </c>
      <c r="X11">
        <v>0.17780000000000001</v>
      </c>
      <c r="Y11">
        <v>0.2112</v>
      </c>
      <c r="Z11">
        <v>0.24360000000000001</v>
      </c>
      <c r="AA11">
        <v>0.27300000000000002</v>
      </c>
      <c r="AB11">
        <v>0.3</v>
      </c>
    </row>
    <row r="12" spans="1:28" x14ac:dyDescent="0.25">
      <c r="F12" s="6"/>
      <c r="G12" s="6"/>
      <c r="H12" s="6"/>
    </row>
    <row r="13" spans="1:28" x14ac:dyDescent="0.25">
      <c r="F13" s="6"/>
      <c r="G13" s="6"/>
      <c r="H13" s="6"/>
    </row>
    <row r="14" spans="1:28" x14ac:dyDescent="0.25">
      <c r="F14" s="6"/>
      <c r="G14" s="6"/>
      <c r="H14" s="11">
        <v>-180</v>
      </c>
      <c r="I14">
        <v>-162</v>
      </c>
      <c r="J14">
        <v>-144</v>
      </c>
      <c r="K14">
        <v>-126</v>
      </c>
      <c r="L14">
        <v>-108</v>
      </c>
      <c r="M14">
        <v>-90</v>
      </c>
      <c r="N14">
        <v>-72</v>
      </c>
      <c r="O14">
        <v>-54</v>
      </c>
      <c r="P14">
        <v>-36</v>
      </c>
      <c r="Q14">
        <v>-18</v>
      </c>
      <c r="R14">
        <v>0</v>
      </c>
      <c r="S14">
        <v>18</v>
      </c>
      <c r="T14">
        <v>36</v>
      </c>
      <c r="U14">
        <v>54</v>
      </c>
      <c r="V14">
        <v>72</v>
      </c>
      <c r="W14">
        <v>90</v>
      </c>
      <c r="X14">
        <v>108</v>
      </c>
      <c r="Y14">
        <v>126</v>
      </c>
      <c r="Z14">
        <v>144</v>
      </c>
      <c r="AA14">
        <v>162</v>
      </c>
      <c r="AB14">
        <v>180</v>
      </c>
    </row>
    <row r="15" spans="1:28" x14ac:dyDescent="0.25">
      <c r="H15">
        <f>3.14157/180</f>
        <v>1.7453166666666669E-2</v>
      </c>
    </row>
    <row r="16" spans="1:28" x14ac:dyDescent="0.25">
      <c r="F16" s="6"/>
      <c r="G16" s="6"/>
      <c r="H16" s="6"/>
    </row>
    <row r="17" spans="2:8" x14ac:dyDescent="0.25">
      <c r="F17" s="6"/>
      <c r="G17" s="6"/>
      <c r="H17" s="6"/>
    </row>
    <row r="18" spans="2:8" x14ac:dyDescent="0.25">
      <c r="F18" s="6"/>
      <c r="G18" s="6"/>
      <c r="H18" s="6"/>
    </row>
    <row r="19" spans="2:8" x14ac:dyDescent="0.25">
      <c r="F19" s="6"/>
      <c r="G19" s="6"/>
      <c r="H19" s="6"/>
    </row>
    <row r="20" spans="2:8" x14ac:dyDescent="0.25">
      <c r="F20" s="6"/>
      <c r="G20" s="6"/>
      <c r="H20" s="6"/>
    </row>
    <row r="21" spans="2:8" x14ac:dyDescent="0.25">
      <c r="F21" s="6"/>
      <c r="G21" s="6"/>
      <c r="H21" s="6"/>
    </row>
    <row r="22" spans="2:8" x14ac:dyDescent="0.25">
      <c r="B22" s="13"/>
      <c r="F22" s="6"/>
      <c r="G22" s="6"/>
      <c r="H22" s="6"/>
    </row>
    <row r="23" spans="2:8" x14ac:dyDescent="0.25">
      <c r="B23" s="13"/>
      <c r="F23" s="6"/>
      <c r="G23" s="6"/>
      <c r="H23" s="6"/>
    </row>
    <row r="24" spans="2:8" x14ac:dyDescent="0.25">
      <c r="F24" s="6"/>
      <c r="G24" s="6"/>
      <c r="H24" s="6"/>
    </row>
    <row r="25" spans="2:8" x14ac:dyDescent="0.25">
      <c r="F25" s="6"/>
      <c r="G25" s="6"/>
      <c r="H25" s="6"/>
    </row>
    <row r="26" spans="2:8" x14ac:dyDescent="0.25">
      <c r="B26" s="13"/>
      <c r="H26" s="14"/>
    </row>
    <row r="27" spans="2:8" x14ac:dyDescent="0.25">
      <c r="B27" s="13"/>
      <c r="H27" s="14"/>
    </row>
  </sheetData>
  <conditionalFormatting sqref="A26:A27">
    <cfRule type="cellIs" dxfId="10" priority="6" operator="equal">
      <formula>"class"</formula>
    </cfRule>
  </conditionalFormatting>
  <conditionalFormatting sqref="A4:B11">
    <cfRule type="cellIs" dxfId="9" priority="2" operator="equal">
      <formula>"class"</formula>
    </cfRule>
  </conditionalFormatting>
  <conditionalFormatting sqref="A22:B25">
    <cfRule type="cellIs" dxfId="8" priority="8" operator="equal">
      <formula>"class"</formula>
    </cfRule>
  </conditionalFormatting>
  <conditionalFormatting sqref="E5">
    <cfRule type="cellIs" dxfId="7" priority="5" operator="equal">
      <formula>"class"</formula>
    </cfRule>
  </conditionalFormatting>
  <conditionalFormatting sqref="E7:E11">
    <cfRule type="cellIs" dxfId="6" priority="1" operator="equal">
      <formula>"class"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C0676-3C82-4D6A-B548-A54A00E78AEC}">
  <sheetPr>
    <tabColor theme="8" tint="-0.249977111117893"/>
  </sheetPr>
  <dimension ref="A1:AB27"/>
  <sheetViews>
    <sheetView workbookViewId="0">
      <pane xSplit="3" ySplit="1" topLeftCell="D2" activePane="bottomRight" state="frozen"/>
      <selection activeCell="A8" sqref="A8:XFD8"/>
      <selection pane="topRight" activeCell="A8" sqref="A8:XFD8"/>
      <selection pane="bottomLeft" activeCell="A8" sqref="A8:XFD8"/>
      <selection pane="bottomRight" activeCell="A8" sqref="A8:XFD8"/>
    </sheetView>
  </sheetViews>
  <sheetFormatPr defaultRowHeight="15" x14ac:dyDescent="0.25"/>
  <cols>
    <col min="1" max="1" width="14.42578125" style="13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15" width="6.7109375" customWidth="1"/>
    <col min="16" max="16" width="7.7109375" bestFit="1" customWidth="1"/>
    <col min="17" max="17" width="6.7109375" bestFit="1" customWidth="1"/>
    <col min="18" max="18" width="2" bestFit="1" customWidth="1"/>
    <col min="19" max="19" width="6" bestFit="1" customWidth="1"/>
    <col min="20" max="26" width="7" bestFit="1" customWidth="1"/>
    <col min="27" max="27" width="6" bestFit="1" customWidth="1"/>
    <col min="28" max="28" width="4" bestFit="1" customWidth="1"/>
  </cols>
  <sheetData>
    <row r="1" spans="1:28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28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28" x14ac:dyDescent="0.25">
      <c r="A3" s="4" t="s">
        <v>7</v>
      </c>
      <c r="B3" s="5"/>
      <c r="C3" s="5"/>
      <c r="F3" s="6"/>
      <c r="G3" s="6"/>
      <c r="H3" s="7" t="s">
        <v>25</v>
      </c>
    </row>
    <row r="4" spans="1:28" x14ac:dyDescent="0.25">
      <c r="A4" s="4" t="s">
        <v>8</v>
      </c>
      <c r="B4" s="8"/>
      <c r="C4" s="8"/>
      <c r="D4" s="8"/>
      <c r="E4" s="8"/>
      <c r="F4" s="9"/>
      <c r="G4" s="9"/>
      <c r="H4" s="10" t="s">
        <v>9</v>
      </c>
    </row>
    <row r="5" spans="1:28" x14ac:dyDescent="0.25">
      <c r="A5" s="4" t="s">
        <v>9</v>
      </c>
      <c r="B5" s="5" t="s">
        <v>10</v>
      </c>
      <c r="C5" s="5"/>
      <c r="D5" t="s">
        <v>11</v>
      </c>
      <c r="E5" t="s">
        <v>12</v>
      </c>
      <c r="F5" s="6">
        <v>-0.13</v>
      </c>
      <c r="G5" s="11">
        <v>0</v>
      </c>
      <c r="H5" s="6">
        <v>0.24</v>
      </c>
    </row>
    <row r="6" spans="1:28" x14ac:dyDescent="0.25">
      <c r="A6" s="4"/>
      <c r="B6" s="12" t="s">
        <v>13</v>
      </c>
      <c r="C6" s="5"/>
      <c r="D6" t="s">
        <v>11</v>
      </c>
      <c r="E6" t="s">
        <v>27</v>
      </c>
      <c r="F6" s="6">
        <v>-0.13</v>
      </c>
      <c r="G6" s="6">
        <v>0.65</v>
      </c>
      <c r="H6" s="6">
        <v>0.24</v>
      </c>
      <c r="J6" s="12" t="s">
        <v>27</v>
      </c>
    </row>
    <row r="7" spans="1:28" x14ac:dyDescent="0.25">
      <c r="A7" s="4"/>
      <c r="B7" s="5" t="s">
        <v>11</v>
      </c>
      <c r="C7" s="5"/>
      <c r="D7" t="s">
        <v>14</v>
      </c>
      <c r="E7" t="s">
        <v>15</v>
      </c>
      <c r="F7" s="11"/>
      <c r="G7" s="11"/>
      <c r="H7" s="11">
        <v>19.792000000000002</v>
      </c>
    </row>
    <row r="8" spans="1:28" x14ac:dyDescent="0.25">
      <c r="A8" s="4"/>
      <c r="B8" s="5" t="s">
        <v>28</v>
      </c>
      <c r="C8" s="5"/>
      <c r="D8" t="s">
        <v>29</v>
      </c>
      <c r="F8" s="11"/>
      <c r="G8" s="11"/>
      <c r="H8" s="11">
        <v>10</v>
      </c>
    </row>
    <row r="9" spans="1:28" x14ac:dyDescent="0.25">
      <c r="A9" s="4"/>
      <c r="B9" s="5" t="s">
        <v>16</v>
      </c>
      <c r="C9" s="5"/>
      <c r="D9" t="s">
        <v>17</v>
      </c>
      <c r="F9" s="11"/>
      <c r="G9" s="11"/>
      <c r="H9" s="11">
        <v>50</v>
      </c>
    </row>
    <row r="10" spans="1:28" x14ac:dyDescent="0.25">
      <c r="A10" s="4" t="s">
        <v>18</v>
      </c>
      <c r="B10" s="5" t="s">
        <v>19</v>
      </c>
      <c r="C10" s="5"/>
      <c r="D10" t="s">
        <v>20</v>
      </c>
      <c r="E10" t="s">
        <v>21</v>
      </c>
      <c r="F10" s="11"/>
      <c r="G10" s="11"/>
      <c r="H10" s="11">
        <f>H14*$H$15</f>
        <v>-3.1415700000000002</v>
      </c>
      <c r="I10" s="11">
        <f t="shared" ref="I10:AB10" si="0">I14*$H$15</f>
        <v>-2.8274130000000004</v>
      </c>
      <c r="J10" s="11">
        <f t="shared" si="0"/>
        <v>-2.5132560000000002</v>
      </c>
      <c r="K10" s="11">
        <f t="shared" si="0"/>
        <v>-2.1990990000000004</v>
      </c>
      <c r="L10" s="11">
        <f t="shared" si="0"/>
        <v>-1.8849420000000003</v>
      </c>
      <c r="M10" s="11">
        <f t="shared" si="0"/>
        <v>-1.5707850000000001</v>
      </c>
      <c r="N10" s="11">
        <f t="shared" si="0"/>
        <v>-1.2566280000000001</v>
      </c>
      <c r="O10" s="11">
        <f t="shared" si="0"/>
        <v>-0.94247100000000017</v>
      </c>
      <c r="P10" s="11">
        <f t="shared" si="0"/>
        <v>-0.62831400000000004</v>
      </c>
      <c r="Q10" s="11">
        <f t="shared" si="0"/>
        <v>-0.31415700000000002</v>
      </c>
      <c r="R10" s="11">
        <f t="shared" si="0"/>
        <v>0</v>
      </c>
      <c r="S10" s="11">
        <f t="shared" si="0"/>
        <v>0.31415700000000002</v>
      </c>
      <c r="T10" s="11">
        <f t="shared" si="0"/>
        <v>0.62831400000000004</v>
      </c>
      <c r="U10" s="11">
        <f t="shared" si="0"/>
        <v>0.94247100000000017</v>
      </c>
      <c r="V10" s="11">
        <f t="shared" si="0"/>
        <v>1.2566280000000001</v>
      </c>
      <c r="W10" s="11">
        <f t="shared" si="0"/>
        <v>1.5707850000000001</v>
      </c>
      <c r="X10" s="11">
        <f t="shared" si="0"/>
        <v>1.8849420000000003</v>
      </c>
      <c r="Y10" s="11">
        <f t="shared" si="0"/>
        <v>2.1990990000000004</v>
      </c>
      <c r="Z10" s="11">
        <f t="shared" si="0"/>
        <v>2.5132560000000002</v>
      </c>
      <c r="AA10" s="11">
        <f t="shared" si="0"/>
        <v>2.8274130000000004</v>
      </c>
      <c r="AB10" s="11">
        <f t="shared" si="0"/>
        <v>3.1415700000000002</v>
      </c>
    </row>
    <row r="11" spans="1:28" x14ac:dyDescent="0.25">
      <c r="A11" s="4"/>
      <c r="B11" s="5" t="s">
        <v>22</v>
      </c>
      <c r="C11" s="5"/>
      <c r="D11" t="s">
        <v>11</v>
      </c>
      <c r="E11" t="s">
        <v>23</v>
      </c>
      <c r="F11" s="11"/>
      <c r="G11" s="11"/>
      <c r="H11" s="11">
        <v>-0.3</v>
      </c>
      <c r="I11">
        <v>-0.27300000000000002</v>
      </c>
      <c r="J11">
        <v>-0.24360000000000001</v>
      </c>
      <c r="K11">
        <v>-0.2112</v>
      </c>
      <c r="L11">
        <v>-0.17780000000000001</v>
      </c>
      <c r="M11">
        <v>-0.1462</v>
      </c>
      <c r="N11">
        <v>-0.1178</v>
      </c>
      <c r="O11">
        <v>-9.1200000000000003E-2</v>
      </c>
      <c r="P11">
        <v>-6.3600000000000004E-2</v>
      </c>
      <c r="Q11">
        <v>-3.3000000000000002E-2</v>
      </c>
      <c r="R11">
        <v>0</v>
      </c>
      <c r="S11">
        <v>3.3000000000000002E-2</v>
      </c>
      <c r="T11">
        <v>6.3600000000000004E-2</v>
      </c>
      <c r="U11">
        <v>9.1200000000000003E-2</v>
      </c>
      <c r="V11">
        <v>0.1178</v>
      </c>
      <c r="W11">
        <v>0.14630000000000001</v>
      </c>
      <c r="X11">
        <v>0.17780000000000001</v>
      </c>
      <c r="Y11">
        <v>0.2112</v>
      </c>
      <c r="Z11">
        <v>0.24360000000000001</v>
      </c>
      <c r="AA11">
        <v>0.27300000000000002</v>
      </c>
      <c r="AB11">
        <v>0.3</v>
      </c>
    </row>
    <row r="12" spans="1:28" x14ac:dyDescent="0.25">
      <c r="F12" s="6"/>
      <c r="G12" s="6"/>
      <c r="H12" s="6"/>
    </row>
    <row r="13" spans="1:28" x14ac:dyDescent="0.25">
      <c r="F13" s="6"/>
      <c r="G13" s="6"/>
      <c r="H13" s="6"/>
    </row>
    <row r="14" spans="1:28" x14ac:dyDescent="0.25">
      <c r="F14" s="6"/>
      <c r="G14" s="6"/>
      <c r="H14" s="11">
        <v>-180</v>
      </c>
      <c r="I14">
        <v>-162</v>
      </c>
      <c r="J14">
        <v>-144</v>
      </c>
      <c r="K14">
        <v>-126</v>
      </c>
      <c r="L14">
        <v>-108</v>
      </c>
      <c r="M14">
        <v>-90</v>
      </c>
      <c r="N14">
        <v>-72</v>
      </c>
      <c r="O14">
        <v>-54</v>
      </c>
      <c r="P14">
        <v>-36</v>
      </c>
      <c r="Q14">
        <v>-18</v>
      </c>
      <c r="R14">
        <v>0</v>
      </c>
      <c r="S14">
        <v>18</v>
      </c>
      <c r="T14">
        <v>36</v>
      </c>
      <c r="U14">
        <v>54</v>
      </c>
      <c r="V14">
        <v>72</v>
      </c>
      <c r="W14">
        <v>90</v>
      </c>
      <c r="X14">
        <v>108</v>
      </c>
      <c r="Y14">
        <v>126</v>
      </c>
      <c r="Z14">
        <v>144</v>
      </c>
      <c r="AA14">
        <v>162</v>
      </c>
      <c r="AB14">
        <v>180</v>
      </c>
    </row>
    <row r="15" spans="1:28" x14ac:dyDescent="0.25">
      <c r="H15">
        <f>3.14157/180</f>
        <v>1.7453166666666669E-2</v>
      </c>
    </row>
    <row r="16" spans="1:28" x14ac:dyDescent="0.25">
      <c r="F16" s="6"/>
      <c r="G16" s="6"/>
      <c r="H16" s="6"/>
    </row>
    <row r="17" spans="2:8" x14ac:dyDescent="0.25">
      <c r="F17" s="6"/>
      <c r="G17" s="6"/>
      <c r="H17" s="6"/>
    </row>
    <row r="18" spans="2:8" x14ac:dyDescent="0.25">
      <c r="F18" s="6"/>
      <c r="G18" s="6"/>
      <c r="H18" s="6"/>
    </row>
    <row r="19" spans="2:8" x14ac:dyDescent="0.25">
      <c r="F19" s="6"/>
      <c r="G19" s="6"/>
      <c r="H19" s="6"/>
    </row>
    <row r="20" spans="2:8" x14ac:dyDescent="0.25">
      <c r="F20" s="6"/>
      <c r="G20" s="6"/>
      <c r="H20" s="6"/>
    </row>
    <row r="21" spans="2:8" x14ac:dyDescent="0.25">
      <c r="F21" s="6"/>
      <c r="G21" s="6"/>
      <c r="H21" s="6"/>
    </row>
    <row r="22" spans="2:8" x14ac:dyDescent="0.25">
      <c r="B22" s="13"/>
      <c r="F22" s="6"/>
      <c r="G22" s="6"/>
      <c r="H22" s="6"/>
    </row>
    <row r="23" spans="2:8" x14ac:dyDescent="0.25">
      <c r="B23" s="13"/>
      <c r="F23" s="6"/>
      <c r="G23" s="6"/>
      <c r="H23" s="6"/>
    </row>
    <row r="24" spans="2:8" x14ac:dyDescent="0.25">
      <c r="F24" s="6"/>
      <c r="G24" s="6"/>
      <c r="H24" s="6"/>
    </row>
    <row r="25" spans="2:8" x14ac:dyDescent="0.25">
      <c r="F25" s="6"/>
      <c r="G25" s="6"/>
      <c r="H25" s="6"/>
    </row>
    <row r="26" spans="2:8" x14ac:dyDescent="0.25">
      <c r="B26" s="13"/>
      <c r="H26" s="14"/>
    </row>
    <row r="27" spans="2:8" x14ac:dyDescent="0.25">
      <c r="B27" s="13"/>
      <c r="H27" s="14"/>
    </row>
  </sheetData>
  <conditionalFormatting sqref="A26:A27">
    <cfRule type="cellIs" dxfId="5" priority="4" operator="equal">
      <formula>"class"</formula>
    </cfRule>
  </conditionalFormatting>
  <conditionalFormatting sqref="A4:B11 A22:B25">
    <cfRule type="cellIs" dxfId="4" priority="6" operator="equal">
      <formula>"class"</formula>
    </cfRule>
  </conditionalFormatting>
  <conditionalFormatting sqref="E5 E7:E11">
    <cfRule type="cellIs" dxfId="3" priority="3" operator="equal">
      <formula>"class"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96D6C-E506-4D46-B578-D6AD8CD9F9CF}">
  <sheetPr>
    <tabColor theme="8" tint="-0.249977111117893"/>
  </sheetPr>
  <dimension ref="A1:AB27"/>
  <sheetViews>
    <sheetView workbookViewId="0">
      <pane xSplit="3" ySplit="1" topLeftCell="D2" activePane="bottomRight" state="frozen"/>
      <selection activeCell="A8" sqref="A8:XFD8"/>
      <selection pane="topRight" activeCell="A8" sqref="A8:XFD8"/>
      <selection pane="bottomLeft" activeCell="A8" sqref="A8:XFD8"/>
      <selection pane="bottomRight" activeCell="F21" sqref="F21"/>
    </sheetView>
  </sheetViews>
  <sheetFormatPr defaultRowHeight="15" x14ac:dyDescent="0.25"/>
  <cols>
    <col min="1" max="1" width="14.42578125" style="13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15" width="6.7109375" customWidth="1"/>
    <col min="16" max="16" width="7.7109375" bestFit="1" customWidth="1"/>
    <col min="17" max="17" width="6.7109375" bestFit="1" customWidth="1"/>
    <col min="18" max="18" width="2" bestFit="1" customWidth="1"/>
    <col min="19" max="19" width="6" bestFit="1" customWidth="1"/>
    <col min="20" max="26" width="7" bestFit="1" customWidth="1"/>
    <col min="27" max="27" width="6" bestFit="1" customWidth="1"/>
    <col min="28" max="28" width="4" bestFit="1" customWidth="1"/>
  </cols>
  <sheetData>
    <row r="1" spans="1:28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28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28" x14ac:dyDescent="0.25">
      <c r="A3" s="4" t="s">
        <v>7</v>
      </c>
      <c r="B3" s="5"/>
      <c r="C3" s="5"/>
      <c r="F3" s="6"/>
      <c r="G3" s="6"/>
      <c r="H3" s="7" t="s">
        <v>26</v>
      </c>
    </row>
    <row r="4" spans="1:28" x14ac:dyDescent="0.25">
      <c r="A4" s="4" t="s">
        <v>8</v>
      </c>
      <c r="B4" s="8"/>
      <c r="C4" s="8"/>
      <c r="D4" s="8"/>
      <c r="E4" s="8"/>
      <c r="F4" s="9"/>
      <c r="G4" s="9"/>
      <c r="H4" s="10" t="s">
        <v>9</v>
      </c>
    </row>
    <row r="5" spans="1:28" x14ac:dyDescent="0.25">
      <c r="A5" s="4" t="s">
        <v>9</v>
      </c>
      <c r="B5" s="5" t="s">
        <v>10</v>
      </c>
      <c r="C5" s="5"/>
      <c r="D5" t="s">
        <v>11</v>
      </c>
      <c r="E5" t="s">
        <v>12</v>
      </c>
      <c r="F5" s="6">
        <v>0.13708300000000001</v>
      </c>
      <c r="G5" s="11">
        <v>0</v>
      </c>
      <c r="H5" s="6">
        <v>0.20499999999999999</v>
      </c>
    </row>
    <row r="6" spans="1:28" x14ac:dyDescent="0.25">
      <c r="A6" s="4"/>
      <c r="B6" s="12" t="s">
        <v>13</v>
      </c>
      <c r="C6" s="5"/>
      <c r="D6" t="s">
        <v>11</v>
      </c>
      <c r="E6" t="s">
        <v>27</v>
      </c>
      <c r="F6" s="6">
        <v>0.13708300000000001</v>
      </c>
      <c r="G6" s="6">
        <v>0.439</v>
      </c>
      <c r="H6" s="6">
        <v>0.20499999999999999</v>
      </c>
      <c r="J6" s="12" t="s">
        <v>27</v>
      </c>
    </row>
    <row r="7" spans="1:28" x14ac:dyDescent="0.25">
      <c r="A7" s="4"/>
      <c r="B7" s="5" t="s">
        <v>11</v>
      </c>
      <c r="C7" s="5"/>
      <c r="D7" t="s">
        <v>14</v>
      </c>
      <c r="E7" t="s">
        <v>15</v>
      </c>
      <c r="F7" s="11"/>
      <c r="G7" s="11"/>
      <c r="H7" s="11">
        <v>19.792000000000002</v>
      </c>
    </row>
    <row r="8" spans="1:28" x14ac:dyDescent="0.25">
      <c r="A8" s="4"/>
      <c r="B8" s="5" t="s">
        <v>28</v>
      </c>
      <c r="C8" s="5"/>
      <c r="D8" t="s">
        <v>29</v>
      </c>
      <c r="F8" s="11"/>
      <c r="G8" s="11"/>
      <c r="H8" s="11">
        <v>10</v>
      </c>
    </row>
    <row r="9" spans="1:28" x14ac:dyDescent="0.25">
      <c r="A9" s="4"/>
      <c r="B9" s="5" t="s">
        <v>16</v>
      </c>
      <c r="C9" s="5"/>
      <c r="D9" t="s">
        <v>17</v>
      </c>
      <c r="F9" s="11"/>
      <c r="G9" s="11"/>
      <c r="H9" s="11">
        <v>50</v>
      </c>
    </row>
    <row r="10" spans="1:28" x14ac:dyDescent="0.25">
      <c r="A10" s="4" t="s">
        <v>18</v>
      </c>
      <c r="B10" s="5" t="s">
        <v>19</v>
      </c>
      <c r="C10" s="5"/>
      <c r="D10" t="s">
        <v>20</v>
      </c>
      <c r="E10" t="s">
        <v>21</v>
      </c>
      <c r="F10" s="11"/>
      <c r="G10" s="11"/>
      <c r="H10" s="17">
        <f t="shared" ref="H10:AB10" si="0">H15*$H$17</f>
        <v>-3.1415700000000002</v>
      </c>
      <c r="I10" s="17">
        <f t="shared" si="0"/>
        <v>-2.8274130000000004</v>
      </c>
      <c r="J10" s="17">
        <f t="shared" si="0"/>
        <v>-2.5132560000000002</v>
      </c>
      <c r="K10" s="17">
        <f t="shared" si="0"/>
        <v>-2.1990990000000004</v>
      </c>
      <c r="L10" s="17">
        <f t="shared" si="0"/>
        <v>-1.8849420000000003</v>
      </c>
      <c r="M10" s="17">
        <f t="shared" si="0"/>
        <v>-1.5707850000000001</v>
      </c>
      <c r="N10" s="17">
        <f t="shared" si="0"/>
        <v>-1.2566280000000001</v>
      </c>
      <c r="O10" s="17">
        <f t="shared" si="0"/>
        <v>-0.94247100000000017</v>
      </c>
      <c r="P10" s="17">
        <f t="shared" si="0"/>
        <v>-0.62831400000000004</v>
      </c>
      <c r="Q10" s="17">
        <f t="shared" si="0"/>
        <v>-0.31415700000000002</v>
      </c>
      <c r="R10" s="18">
        <f t="shared" si="0"/>
        <v>0</v>
      </c>
      <c r="S10" s="17">
        <f t="shared" si="0"/>
        <v>0.31415700000000002</v>
      </c>
      <c r="T10" s="17">
        <f t="shared" si="0"/>
        <v>0.62831400000000004</v>
      </c>
      <c r="U10" s="17">
        <f t="shared" si="0"/>
        <v>0.94247100000000017</v>
      </c>
      <c r="V10" s="17">
        <f t="shared" si="0"/>
        <v>1.2566280000000001</v>
      </c>
      <c r="W10" s="17">
        <f t="shared" si="0"/>
        <v>1.5707850000000001</v>
      </c>
      <c r="X10" s="17">
        <f t="shared" si="0"/>
        <v>1.8849420000000003</v>
      </c>
      <c r="Y10" s="17">
        <f t="shared" si="0"/>
        <v>2.1990990000000004</v>
      </c>
      <c r="Z10" s="17">
        <f t="shared" si="0"/>
        <v>2.5132560000000002</v>
      </c>
      <c r="AA10" s="17">
        <f t="shared" si="0"/>
        <v>2.8274130000000004</v>
      </c>
      <c r="AB10" s="17">
        <f t="shared" si="0"/>
        <v>3.1415700000000002</v>
      </c>
    </row>
    <row r="11" spans="1:28" x14ac:dyDescent="0.25">
      <c r="A11" s="4"/>
      <c r="B11" s="5" t="s">
        <v>22</v>
      </c>
      <c r="C11" s="5"/>
      <c r="D11" t="s">
        <v>11</v>
      </c>
      <c r="E11" t="s">
        <v>23</v>
      </c>
      <c r="F11" s="11"/>
      <c r="G11" s="11"/>
      <c r="H11" s="15">
        <f t="shared" ref="H11:AB11" si="1">H13*$H$14</f>
        <v>-0.18</v>
      </c>
      <c r="I11" s="15">
        <f t="shared" si="1"/>
        <v>-0.1638</v>
      </c>
      <c r="J11" s="15">
        <f t="shared" si="1"/>
        <v>-0.14616000000000001</v>
      </c>
      <c r="K11" s="15">
        <f t="shared" si="1"/>
        <v>-0.12672</v>
      </c>
      <c r="L11" s="15">
        <f t="shared" si="1"/>
        <v>-0.10668000000000001</v>
      </c>
      <c r="M11" s="15">
        <f t="shared" si="1"/>
        <v>-8.7719999999999992E-2</v>
      </c>
      <c r="N11" s="15">
        <f t="shared" si="1"/>
        <v>-7.0679999999999993E-2</v>
      </c>
      <c r="O11" s="15">
        <f t="shared" si="1"/>
        <v>-5.4719999999999998E-2</v>
      </c>
      <c r="P11" s="15">
        <f t="shared" si="1"/>
        <v>-3.8159999999999999E-2</v>
      </c>
      <c r="Q11" s="15">
        <f t="shared" si="1"/>
        <v>-1.9800000000000002E-2</v>
      </c>
      <c r="R11" s="16">
        <f t="shared" si="1"/>
        <v>0</v>
      </c>
      <c r="S11" s="15">
        <f t="shared" si="1"/>
        <v>1.9800000000000002E-2</v>
      </c>
      <c r="T11" s="15">
        <f t="shared" si="1"/>
        <v>3.8159999999999999E-2</v>
      </c>
      <c r="U11" s="15">
        <f t="shared" si="1"/>
        <v>5.4719999999999998E-2</v>
      </c>
      <c r="V11" s="15">
        <f t="shared" si="1"/>
        <v>7.0679999999999993E-2</v>
      </c>
      <c r="W11" s="15">
        <f t="shared" si="1"/>
        <v>8.7780000000000011E-2</v>
      </c>
      <c r="X11" s="15">
        <f t="shared" si="1"/>
        <v>0.10668000000000001</v>
      </c>
      <c r="Y11" s="15">
        <f t="shared" si="1"/>
        <v>0.12672</v>
      </c>
      <c r="Z11" s="15">
        <f t="shared" si="1"/>
        <v>0.14616000000000001</v>
      </c>
      <c r="AA11" s="15">
        <f t="shared" si="1"/>
        <v>0.1638</v>
      </c>
      <c r="AB11" s="15">
        <f t="shared" si="1"/>
        <v>0.18</v>
      </c>
    </row>
    <row r="12" spans="1:28" x14ac:dyDescent="0.25">
      <c r="F12" s="6"/>
      <c r="G12" s="6"/>
      <c r="H12" s="6"/>
    </row>
    <row r="13" spans="1:28" x14ac:dyDescent="0.25">
      <c r="F13" s="6"/>
      <c r="G13" s="6"/>
      <c r="H13" s="11">
        <v>-0.3</v>
      </c>
      <c r="I13">
        <v>-0.27300000000000002</v>
      </c>
      <c r="J13">
        <v>-0.24360000000000001</v>
      </c>
      <c r="K13">
        <v>-0.2112</v>
      </c>
      <c r="L13">
        <v>-0.17780000000000001</v>
      </c>
      <c r="M13">
        <v>-0.1462</v>
      </c>
      <c r="N13">
        <v>-0.1178</v>
      </c>
      <c r="O13">
        <v>-9.1200000000000003E-2</v>
      </c>
      <c r="P13">
        <v>-6.3600000000000004E-2</v>
      </c>
      <c r="Q13">
        <v>-3.3000000000000002E-2</v>
      </c>
      <c r="R13">
        <v>0</v>
      </c>
      <c r="S13">
        <v>3.3000000000000002E-2</v>
      </c>
      <c r="T13">
        <v>6.3600000000000004E-2</v>
      </c>
      <c r="U13">
        <v>9.1200000000000003E-2</v>
      </c>
      <c r="V13">
        <v>0.1178</v>
      </c>
      <c r="W13">
        <v>0.14630000000000001</v>
      </c>
      <c r="X13">
        <v>0.17780000000000001</v>
      </c>
      <c r="Y13">
        <v>0.2112</v>
      </c>
      <c r="Z13">
        <v>0.24360000000000001</v>
      </c>
      <c r="AA13">
        <v>0.27300000000000002</v>
      </c>
      <c r="AB13">
        <v>0.3</v>
      </c>
    </row>
    <row r="14" spans="1:28" x14ac:dyDescent="0.25">
      <c r="F14" s="6"/>
      <c r="G14" s="6"/>
      <c r="H14">
        <f>0.6</f>
        <v>0.6</v>
      </c>
    </row>
    <row r="15" spans="1:28" x14ac:dyDescent="0.25">
      <c r="H15" s="11">
        <v>-180</v>
      </c>
      <c r="I15">
        <v>-162</v>
      </c>
      <c r="J15">
        <v>-144</v>
      </c>
      <c r="K15">
        <v>-126</v>
      </c>
      <c r="L15">
        <v>-108</v>
      </c>
      <c r="M15">
        <v>-90</v>
      </c>
      <c r="N15">
        <v>-72</v>
      </c>
      <c r="O15">
        <v>-54</v>
      </c>
      <c r="P15">
        <v>-36</v>
      </c>
      <c r="Q15">
        <v>-18</v>
      </c>
      <c r="R15">
        <v>0</v>
      </c>
      <c r="S15">
        <v>18</v>
      </c>
      <c r="T15">
        <v>36</v>
      </c>
      <c r="U15">
        <v>54</v>
      </c>
      <c r="V15">
        <v>72</v>
      </c>
      <c r="W15">
        <v>90</v>
      </c>
      <c r="X15">
        <v>108</v>
      </c>
      <c r="Y15">
        <v>126</v>
      </c>
      <c r="Z15">
        <v>144</v>
      </c>
      <c r="AA15">
        <v>162</v>
      </c>
      <c r="AB15">
        <v>180</v>
      </c>
    </row>
    <row r="16" spans="1:28" x14ac:dyDescent="0.25">
      <c r="F16" s="6"/>
      <c r="G16" s="6"/>
    </row>
    <row r="17" spans="2:13" x14ac:dyDescent="0.25">
      <c r="F17" s="6"/>
      <c r="G17" s="6"/>
      <c r="H17">
        <f>3.14157/180</f>
        <v>1.7453166666666669E-2</v>
      </c>
    </row>
    <row r="18" spans="2:13" x14ac:dyDescent="0.25">
      <c r="F18" s="6"/>
      <c r="G18" s="6"/>
      <c r="H18" s="6"/>
      <c r="K18" s="6"/>
      <c r="L18" s="6"/>
      <c r="M18" s="6"/>
    </row>
    <row r="19" spans="2:13" x14ac:dyDescent="0.25">
      <c r="F19" s="6"/>
      <c r="G19" s="6"/>
      <c r="K19" s="19"/>
      <c r="L19" s="19"/>
      <c r="M19" s="19"/>
    </row>
    <row r="20" spans="2:13" x14ac:dyDescent="0.25">
      <c r="F20" s="6"/>
      <c r="G20" s="6"/>
      <c r="H20" s="6"/>
      <c r="L20" s="19"/>
      <c r="M20" s="19"/>
    </row>
    <row r="21" spans="2:13" x14ac:dyDescent="0.25">
      <c r="F21" s="6"/>
      <c r="G21" s="6"/>
      <c r="H21" s="6"/>
      <c r="K21" s="6"/>
      <c r="L21" s="6"/>
      <c r="M21" s="6"/>
    </row>
    <row r="22" spans="2:13" x14ac:dyDescent="0.25">
      <c r="B22" s="13"/>
      <c r="F22" s="6"/>
      <c r="G22" s="6"/>
      <c r="H22" s="6"/>
      <c r="K22" s="6"/>
      <c r="L22" s="6"/>
      <c r="M22" s="6"/>
    </row>
    <row r="23" spans="2:13" x14ac:dyDescent="0.25">
      <c r="B23" s="13"/>
      <c r="F23" s="6"/>
      <c r="G23" s="6"/>
      <c r="H23" s="6"/>
    </row>
    <row r="24" spans="2:13" x14ac:dyDescent="0.25">
      <c r="F24" s="6"/>
      <c r="G24" s="6"/>
      <c r="H24" s="6"/>
      <c r="K24" s="11"/>
      <c r="L24" s="11"/>
      <c r="M24" s="11"/>
    </row>
    <row r="25" spans="2:13" x14ac:dyDescent="0.25">
      <c r="F25" s="6"/>
      <c r="G25" s="6"/>
      <c r="H25" s="6"/>
      <c r="K25" s="19"/>
      <c r="L25" s="19"/>
      <c r="M25" s="19"/>
    </row>
    <row r="26" spans="2:13" x14ac:dyDescent="0.25">
      <c r="B26" s="13"/>
      <c r="H26" s="14"/>
    </row>
    <row r="27" spans="2:13" x14ac:dyDescent="0.25">
      <c r="B27" s="13"/>
      <c r="H27" s="14"/>
    </row>
  </sheetData>
  <conditionalFormatting sqref="A26:A27">
    <cfRule type="cellIs" dxfId="2" priority="2" operator="equal">
      <formula>"class"</formula>
    </cfRule>
  </conditionalFormatting>
  <conditionalFormatting sqref="A4:B11 A22:B25">
    <cfRule type="cellIs" dxfId="1" priority="4" operator="equal">
      <formula>"class"</formula>
    </cfRule>
  </conditionalFormatting>
  <conditionalFormatting sqref="E5 E7:E11">
    <cfRule type="cellIs" dxfId="0" priority="1" operator="equal">
      <formula>"class"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Sedan_HambaLG_f</vt:lpstr>
      <vt:lpstr>Sedan_HambaLG_r</vt:lpstr>
      <vt:lpstr>Rack_Hamba_r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2019-11-06T15:47:11Z</dcterms:created>
  <dcterms:modified xsi:type="dcterms:W3CDTF">2026-06-11T16:03:42Z</dcterms:modified>
</cp:coreProperties>
</file>