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F9631B40-384E-4202-88D0-114CA2BC6BC8}" xr6:coauthVersionLast="47" xr6:coauthVersionMax="47" xr10:uidLastSave="{00000000-0000-0000-0000-000000000000}"/>
  <bookViews>
    <workbookView xWindow="6135" yWindow="2400" windowWidth="21600" windowHeight="11295" xr2:uid="{68DBC447-E393-42D5-B761-B52508FAA163}"/>
  </bookViews>
  <sheets>
    <sheet name="RWheelVarRatio_Hamba_f" sheetId="2" r:id="rId1"/>
    <sheet name="RWheelVarRatio_HambaLG_f" sheetId="3" r:id="rId2"/>
    <sheet name="RWheelVarRatio_SUVLandy_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</calcChain>
</file>

<file path=xl/sharedStrings.xml><?xml version="1.0" encoding="utf-8"?>
<sst xmlns="http://schemas.openxmlformats.org/spreadsheetml/2006/main" count="133" uniqueCount="36">
  <si>
    <t>Sedan</t>
  </si>
  <si>
    <t>class</t>
  </si>
  <si>
    <t>Mass</t>
  </si>
  <si>
    <t>kg</t>
  </si>
  <si>
    <t>m</t>
  </si>
  <si>
    <t>rad</t>
  </si>
  <si>
    <t>aAxis</t>
  </si>
  <si>
    <t>[-1.0213531220517 0.376755175037545 0.923261538853403]</t>
  </si>
  <si>
    <t>sMount</t>
  </si>
  <si>
    <t>Wheel</t>
  </si>
  <si>
    <t>Hz</t>
  </si>
  <si>
    <t>fActuatorCutoff</t>
  </si>
  <si>
    <t>Must  be consistent with linkage trackrod inboard point</t>
  </si>
  <si>
    <t>sOutboard</t>
  </si>
  <si>
    <t>HPRack</t>
  </si>
  <si>
    <t>Rack</t>
  </si>
  <si>
    <t>RackWheelVarRatio</t>
  </si>
  <si>
    <t>RackWheelVarRatio_Sedan_Hamba_f</t>
  </si>
  <si>
    <t>Instance</t>
  </si>
  <si>
    <t>Steer</t>
  </si>
  <si>
    <t>Type</t>
  </si>
  <si>
    <t>z or scalar</t>
  </si>
  <si>
    <t>y</t>
  </si>
  <si>
    <t>x</t>
  </si>
  <si>
    <t>Comments</t>
  </si>
  <si>
    <t>Units</t>
  </si>
  <si>
    <t>RackWheelVarRatio_Sedan_HambaLG_f</t>
  </si>
  <si>
    <t>RackWheelVarRatio_SUV_Landy_f</t>
  </si>
  <si>
    <t>Control</t>
  </si>
  <si>
    <t>nSteerTrq</t>
  </si>
  <si>
    <t>Scaling factor wheel torque/rack force</t>
  </si>
  <si>
    <t>fForceCutoff</t>
  </si>
  <si>
    <t>Cutoff frequency force feedback</t>
  </si>
  <si>
    <t>Cutoff frequency actuator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</si>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</sst>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2" fontId="2" fillId="0" borderId="0" xfId="1" applyNumberFormat="1" applyFont="1"/>
    <xf numFmtId="0" fontId="2" fillId="0" borderId="0" xfId="1" applyFont="1" applyAlignment="1">
      <alignment horizontal="right"/>
    </xf>
    <xf numFmtId="0" fontId="2" fillId="0" borderId="0" xfId="1" applyFont="1"/>
    <xf numFmtId="0" fontId="1" fillId="2" borderId="0" xfId="1" applyFill="1"/>
    <xf numFmtId="0" fontId="1" fillId="2" borderId="0" xfId="1" applyFill="1" applyAlignment="1">
      <alignment horizontal="left"/>
    </xf>
    <xf numFmtId="0" fontId="1" fillId="3" borderId="0" xfId="1" applyFill="1"/>
    <xf numFmtId="2" fontId="2" fillId="3" borderId="0" xfId="1" applyNumberFormat="1" applyFont="1" applyFill="1"/>
    <xf numFmtId="2" fontId="2" fillId="4" borderId="0" xfId="1" applyNumberFormat="1" applyFont="1" applyFill="1" applyAlignment="1">
      <alignment horizontal="right"/>
    </xf>
    <xf numFmtId="2" fontId="2" fillId="4" borderId="0" xfId="1" applyNumberFormat="1" applyFont="1" applyFill="1"/>
    <xf numFmtId="0" fontId="1" fillId="4" borderId="0" xfId="1" applyFill="1"/>
    <xf numFmtId="2" fontId="2" fillId="0" borderId="0" xfId="1" applyNumberFormat="1" applyFont="1" applyAlignment="1">
      <alignment horizontal="right"/>
    </xf>
    <xf numFmtId="0" fontId="3" fillId="5" borderId="0" xfId="1" applyFont="1" applyFill="1" applyAlignment="1">
      <alignment horizontal="center"/>
    </xf>
    <xf numFmtId="0" fontId="1" fillId="5" borderId="0" xfId="1" applyFill="1"/>
    <xf numFmtId="0" fontId="3" fillId="5" borderId="0" xfId="1" applyFont="1" applyFill="1" applyAlignment="1">
      <alignment horizontal="left"/>
    </xf>
    <xf numFmtId="2" fontId="1" fillId="0" borderId="0" xfId="1" applyNumberFormat="1"/>
    <xf numFmtId="0" fontId="0" fillId="2" borderId="0" xfId="0" applyFill="1" applyAlignment="1">
      <alignment horizontal="left"/>
    </xf>
    <xf numFmtId="0" fontId="0" fillId="2" borderId="0" xfId="0" applyFill="1"/>
    <xf numFmtId="2" fontId="2" fillId="0" borderId="0" xfId="0" applyNumberFormat="1" applyFont="1"/>
    <xf numFmtId="0" fontId="2" fillId="0" borderId="0" xfId="0" applyFont="1"/>
  </cellXfs>
  <cellStyles count="2">
    <cellStyle name="Normal" xfId="0" builtinId="0"/>
    <cellStyle name="Normal 2" xfId="1" xr:uid="{4E27A6AA-64BD-4439-9066-9FC6A29FF0A1}"/>
  </cellStyles>
  <dxfs count="2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5E86-32CF-44F2-BBB7-351EA3FD7D4F}">
  <sheetPr>
    <tabColor theme="8" tint="-0.249977111117893"/>
  </sheetPr>
  <dimension ref="A1:K17"/>
  <sheetViews>
    <sheetView tabSelected="1" workbookViewId="0">
      <pane xSplit="3" ySplit="1" topLeftCell="D2" activePane="bottomRight" state="frozen"/>
      <selection activeCell="J18" sqref="J18"/>
      <selection pane="topRight" activeCell="J18" sqref="J18"/>
      <selection pane="bottomLeft" activeCell="J18" sqref="J18"/>
      <selection pane="bottomRight" activeCell="C19" sqref="C19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11" x14ac:dyDescent="0.25">
      <c r="A1" s="17"/>
      <c r="B1" s="15"/>
      <c r="C1" s="16"/>
      <c r="D1" s="15" t="s">
        <v>25</v>
      </c>
      <c r="E1" s="15" t="s">
        <v>24</v>
      </c>
      <c r="F1" s="15" t="s">
        <v>23</v>
      </c>
      <c r="G1" s="15" t="s">
        <v>22</v>
      </c>
      <c r="H1" s="15" t="s">
        <v>21</v>
      </c>
    </row>
    <row r="2" spans="1:11" x14ac:dyDescent="0.25">
      <c r="A2" s="8" t="s">
        <v>20</v>
      </c>
      <c r="B2" s="7"/>
      <c r="C2" s="7"/>
      <c r="E2" s="4"/>
      <c r="F2" s="4"/>
      <c r="G2" s="4"/>
      <c r="H2" s="14" t="s">
        <v>19</v>
      </c>
    </row>
    <row r="3" spans="1:11" x14ac:dyDescent="0.25">
      <c r="A3" s="8" t="s">
        <v>18</v>
      </c>
      <c r="B3" s="7"/>
      <c r="C3" s="7"/>
      <c r="F3" s="4"/>
      <c r="G3" s="4"/>
      <c r="H3" s="14" t="s">
        <v>17</v>
      </c>
    </row>
    <row r="4" spans="1:11" x14ac:dyDescent="0.25">
      <c r="A4" s="8" t="s">
        <v>1</v>
      </c>
      <c r="B4" s="13"/>
      <c r="C4" s="13"/>
      <c r="D4" s="13"/>
      <c r="E4" s="13"/>
      <c r="F4" s="12"/>
      <c r="G4" s="12"/>
      <c r="H4" s="11" t="s">
        <v>16</v>
      </c>
    </row>
    <row r="5" spans="1:11" x14ac:dyDescent="0.25">
      <c r="A5" s="8" t="s">
        <v>15</v>
      </c>
      <c r="B5" s="7" t="s">
        <v>8</v>
      </c>
      <c r="C5" s="7"/>
      <c r="D5" s="1" t="s">
        <v>4</v>
      </c>
      <c r="E5" s="1" t="s">
        <v>14</v>
      </c>
      <c r="F5" s="4">
        <v>0.13708300000000001</v>
      </c>
      <c r="G5" s="6">
        <v>0</v>
      </c>
      <c r="H5" s="4">
        <v>0.20499999999999999</v>
      </c>
    </row>
    <row r="6" spans="1:11" x14ac:dyDescent="0.25">
      <c r="A6" s="8"/>
      <c r="B6" s="9" t="s">
        <v>13</v>
      </c>
      <c r="C6" s="7"/>
      <c r="D6" s="1" t="s">
        <v>4</v>
      </c>
      <c r="E6" s="1" t="s">
        <v>12</v>
      </c>
      <c r="F6" s="10">
        <v>0.13708300000000001</v>
      </c>
      <c r="G6" s="10">
        <v>0.439</v>
      </c>
      <c r="H6" s="10">
        <v>0.20499999999999999</v>
      </c>
      <c r="J6" s="9" t="s">
        <v>12</v>
      </c>
    </row>
    <row r="7" spans="1:11" x14ac:dyDescent="0.25">
      <c r="A7" s="8"/>
      <c r="B7" s="7" t="s">
        <v>4</v>
      </c>
      <c r="C7" s="7"/>
      <c r="D7" s="1" t="s">
        <v>3</v>
      </c>
      <c r="E7" s="1" t="s">
        <v>2</v>
      </c>
      <c r="F7" s="6"/>
      <c r="G7" s="6"/>
      <c r="H7" s="6">
        <v>19.792000000000002</v>
      </c>
    </row>
    <row r="8" spans="1:11" customFormat="1" x14ac:dyDescent="0.25">
      <c r="A8" s="19"/>
      <c r="B8" s="20" t="s">
        <v>34</v>
      </c>
      <c r="C8" s="20"/>
      <c r="D8" t="s">
        <v>35</v>
      </c>
      <c r="F8" s="22"/>
      <c r="G8" s="22"/>
      <c r="H8" s="22">
        <v>10</v>
      </c>
    </row>
    <row r="9" spans="1:11" x14ac:dyDescent="0.25">
      <c r="A9" s="8"/>
      <c r="B9" s="7" t="s">
        <v>11</v>
      </c>
      <c r="C9" s="7"/>
      <c r="D9" s="1" t="s">
        <v>10</v>
      </c>
      <c r="E9" s="1" t="s">
        <v>33</v>
      </c>
      <c r="F9" s="6"/>
      <c r="G9" s="6"/>
      <c r="H9" s="6">
        <v>50</v>
      </c>
    </row>
    <row r="10" spans="1:11" x14ac:dyDescent="0.25">
      <c r="A10" s="8" t="s">
        <v>9</v>
      </c>
      <c r="B10" s="7" t="s">
        <v>8</v>
      </c>
      <c r="C10" s="7"/>
      <c r="D10" s="1" t="s">
        <v>4</v>
      </c>
      <c r="F10" s="6">
        <v>-1.0213531220517</v>
      </c>
      <c r="G10" s="6">
        <v>0.37675517503754502</v>
      </c>
      <c r="H10" s="6">
        <v>0.92326153885340301</v>
      </c>
      <c r="K10" s="1" t="s">
        <v>7</v>
      </c>
    </row>
    <row r="11" spans="1:11" x14ac:dyDescent="0.25">
      <c r="A11" s="8"/>
      <c r="B11" s="7" t="s">
        <v>6</v>
      </c>
      <c r="C11" s="7"/>
      <c r="D11" s="1" t="s">
        <v>5</v>
      </c>
      <c r="F11" s="6"/>
      <c r="G11" s="6"/>
      <c r="H11" s="6">
        <v>0.35289999999999999</v>
      </c>
    </row>
    <row r="12" spans="1:11" x14ac:dyDescent="0.25">
      <c r="A12" s="8"/>
      <c r="B12" s="7" t="s">
        <v>4</v>
      </c>
      <c r="C12" s="7"/>
      <c r="D12" s="1" t="s">
        <v>3</v>
      </c>
      <c r="E12" s="1" t="s">
        <v>2</v>
      </c>
      <c r="F12" s="6"/>
      <c r="G12" s="6"/>
      <c r="H12" s="6">
        <v>1</v>
      </c>
    </row>
    <row r="13" spans="1:11" x14ac:dyDescent="0.25">
      <c r="A13" s="8"/>
      <c r="B13" s="7" t="s">
        <v>1</v>
      </c>
      <c r="C13" s="7"/>
      <c r="F13" s="6"/>
      <c r="G13" s="6"/>
      <c r="H13" s="5" t="s">
        <v>0</v>
      </c>
    </row>
    <row r="14" spans="1:11" x14ac:dyDescent="0.25">
      <c r="A14" s="8" t="s">
        <v>28</v>
      </c>
      <c r="B14" s="20" t="s">
        <v>29</v>
      </c>
      <c r="C14" s="19"/>
      <c r="D14" s="1" t="s">
        <v>4</v>
      </c>
      <c r="E14" t="s">
        <v>30</v>
      </c>
      <c r="F14" s="21"/>
      <c r="G14" s="21"/>
      <c r="H14" s="21">
        <v>2.5000000000000001E-3</v>
      </c>
    </row>
    <row r="15" spans="1:11" x14ac:dyDescent="0.25">
      <c r="A15" s="19"/>
      <c r="B15" s="7" t="s">
        <v>31</v>
      </c>
      <c r="C15" s="7"/>
      <c r="D15" s="1" t="s">
        <v>10</v>
      </c>
      <c r="E15" s="1" t="s">
        <v>32</v>
      </c>
      <c r="H15" s="1">
        <v>100</v>
      </c>
    </row>
    <row r="16" spans="1:11" x14ac:dyDescent="0.25">
      <c r="B16" s="2"/>
      <c r="H16" s="3"/>
    </row>
    <row r="17" spans="2:8" x14ac:dyDescent="0.25">
      <c r="B17" s="2"/>
      <c r="H17" s="3"/>
    </row>
  </sheetData>
  <conditionalFormatting sqref="A4:B7 A9:B13">
    <cfRule type="cellIs" dxfId="21" priority="6" operator="equal">
      <formula>"class"</formula>
    </cfRule>
  </conditionalFormatting>
  <conditionalFormatting sqref="B14:C14 A15:A17">
    <cfRule type="cellIs" dxfId="20" priority="7" operator="equal">
      <formula>"class"</formula>
    </cfRule>
  </conditionalFormatting>
  <conditionalFormatting sqref="E5 E7">
    <cfRule type="cellIs" dxfId="19" priority="5" operator="equal">
      <formula>"class"</formula>
    </cfRule>
  </conditionalFormatting>
  <conditionalFormatting sqref="E10:E14">
    <cfRule type="cellIs" dxfId="18" priority="3" operator="equal">
      <formula>"class"</formula>
    </cfRule>
  </conditionalFormatting>
  <conditionalFormatting sqref="A8:B8">
    <cfRule type="cellIs" dxfId="17" priority="2" operator="equal">
      <formula>"class"</formula>
    </cfRule>
  </conditionalFormatting>
  <conditionalFormatting sqref="E8">
    <cfRule type="cellIs" dxfId="16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269B-36FE-4605-AFC4-7FEF0CA023A8}">
  <sheetPr>
    <tabColor theme="8" tint="-0.249977111117893"/>
  </sheetPr>
  <dimension ref="A1:J23"/>
  <sheetViews>
    <sheetView workbookViewId="0">
      <pane xSplit="3" ySplit="1" topLeftCell="D2" activePane="bottomRight" state="frozen"/>
      <selection activeCell="J18" sqref="J18"/>
      <selection pane="topRight" activeCell="J18" sqref="J18"/>
      <selection pane="bottomLeft" activeCell="J18" sqref="J18"/>
      <selection pane="bottomRight" activeCell="A8" sqref="A8:XFD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10" x14ac:dyDescent="0.25">
      <c r="A1" s="17"/>
      <c r="B1" s="15"/>
      <c r="C1" s="16"/>
      <c r="D1" s="15" t="s">
        <v>25</v>
      </c>
      <c r="E1" s="15" t="s">
        <v>24</v>
      </c>
      <c r="F1" s="15" t="s">
        <v>23</v>
      </c>
      <c r="G1" s="15" t="s">
        <v>22</v>
      </c>
      <c r="H1" s="15" t="s">
        <v>21</v>
      </c>
    </row>
    <row r="2" spans="1:10" x14ac:dyDescent="0.25">
      <c r="A2" s="8" t="s">
        <v>20</v>
      </c>
      <c r="B2" s="7"/>
      <c r="C2" s="7"/>
      <c r="E2" s="4"/>
      <c r="F2" s="4"/>
      <c r="G2" s="4"/>
      <c r="H2" s="14" t="s">
        <v>19</v>
      </c>
    </row>
    <row r="3" spans="1:10" x14ac:dyDescent="0.25">
      <c r="A3" s="8" t="s">
        <v>18</v>
      </c>
      <c r="B3" s="7"/>
      <c r="C3" s="7"/>
      <c r="F3" s="4"/>
      <c r="G3" s="4"/>
      <c r="H3" s="14" t="s">
        <v>26</v>
      </c>
    </row>
    <row r="4" spans="1:10" x14ac:dyDescent="0.25">
      <c r="A4" s="8" t="s">
        <v>1</v>
      </c>
      <c r="B4" s="13"/>
      <c r="C4" s="13"/>
      <c r="D4" s="13"/>
      <c r="E4" s="13"/>
      <c r="F4" s="12"/>
      <c r="G4" s="12"/>
      <c r="H4" s="11" t="s">
        <v>16</v>
      </c>
    </row>
    <row r="5" spans="1:10" x14ac:dyDescent="0.25">
      <c r="A5" s="8" t="s">
        <v>15</v>
      </c>
      <c r="B5" s="7" t="s">
        <v>8</v>
      </c>
      <c r="C5" s="7"/>
      <c r="D5" s="1" t="s">
        <v>4</v>
      </c>
      <c r="E5" s="1" t="s">
        <v>14</v>
      </c>
      <c r="F5" s="4">
        <v>0.15379999999999999</v>
      </c>
      <c r="G5" s="6">
        <v>0</v>
      </c>
      <c r="H5" s="4">
        <v>0.24</v>
      </c>
    </row>
    <row r="6" spans="1:10" x14ac:dyDescent="0.25">
      <c r="A6" s="8"/>
      <c r="B6" s="9" t="s">
        <v>13</v>
      </c>
      <c r="C6" s="7"/>
      <c r="D6" s="1" t="s">
        <v>4</v>
      </c>
      <c r="E6" s="1" t="s">
        <v>12</v>
      </c>
      <c r="F6" s="10">
        <v>0.15379999999999999</v>
      </c>
      <c r="G6" s="10">
        <v>0.65</v>
      </c>
      <c r="H6" s="10">
        <v>0.24</v>
      </c>
      <c r="J6" s="9" t="s">
        <v>12</v>
      </c>
    </row>
    <row r="7" spans="1:10" x14ac:dyDescent="0.25">
      <c r="A7" s="8"/>
      <c r="B7" s="7" t="s">
        <v>4</v>
      </c>
      <c r="C7" s="7"/>
      <c r="D7" s="1" t="s">
        <v>3</v>
      </c>
      <c r="E7" s="1" t="s">
        <v>2</v>
      </c>
      <c r="F7" s="6"/>
      <c r="G7" s="6"/>
      <c r="H7" s="6">
        <v>19.792000000000002</v>
      </c>
    </row>
    <row r="8" spans="1:10" customFormat="1" x14ac:dyDescent="0.25">
      <c r="A8" s="19"/>
      <c r="B8" s="20" t="s">
        <v>34</v>
      </c>
      <c r="C8" s="20"/>
      <c r="D8" t="s">
        <v>35</v>
      </c>
      <c r="F8" s="22"/>
      <c r="G8" s="22"/>
      <c r="H8" s="22">
        <v>10</v>
      </c>
    </row>
    <row r="9" spans="1:10" x14ac:dyDescent="0.25">
      <c r="A9" s="8"/>
      <c r="B9" s="7" t="s">
        <v>11</v>
      </c>
      <c r="C9" s="7"/>
      <c r="D9" s="1" t="s">
        <v>10</v>
      </c>
      <c r="E9" s="1" t="s">
        <v>33</v>
      </c>
      <c r="F9" s="6"/>
      <c r="G9" s="6"/>
      <c r="H9" s="6">
        <v>50</v>
      </c>
    </row>
    <row r="10" spans="1:10" x14ac:dyDescent="0.25">
      <c r="A10" s="8" t="s">
        <v>9</v>
      </c>
      <c r="B10" s="7" t="s">
        <v>8</v>
      </c>
      <c r="C10" s="7"/>
      <c r="D10" s="1" t="s">
        <v>4</v>
      </c>
      <c r="F10" s="4">
        <v>-1.3243331220516996</v>
      </c>
      <c r="G10" s="4">
        <v>0.45175517503754498</v>
      </c>
      <c r="H10" s="4">
        <v>0.88921153885340298</v>
      </c>
    </row>
    <row r="11" spans="1:10" x14ac:dyDescent="0.25">
      <c r="A11" s="8"/>
      <c r="B11" s="7" t="s">
        <v>6</v>
      </c>
      <c r="C11" s="7"/>
      <c r="D11" s="1" t="s">
        <v>5</v>
      </c>
      <c r="F11" s="6"/>
      <c r="G11" s="6"/>
      <c r="H11" s="6">
        <v>0.35289999999999999</v>
      </c>
    </row>
    <row r="12" spans="1:10" x14ac:dyDescent="0.25">
      <c r="A12" s="8"/>
      <c r="B12" s="7" t="s">
        <v>4</v>
      </c>
      <c r="C12" s="7"/>
      <c r="D12" s="1" t="s">
        <v>3</v>
      </c>
      <c r="E12" s="1" t="s">
        <v>2</v>
      </c>
      <c r="F12" s="6"/>
      <c r="G12" s="6"/>
      <c r="H12" s="6">
        <v>1</v>
      </c>
    </row>
    <row r="13" spans="1:10" x14ac:dyDescent="0.25">
      <c r="A13" s="8"/>
      <c r="B13" s="7" t="s">
        <v>1</v>
      </c>
      <c r="C13" s="7"/>
      <c r="F13" s="6"/>
      <c r="G13" s="6"/>
      <c r="H13" s="6" t="s">
        <v>0</v>
      </c>
    </row>
    <row r="14" spans="1:10" x14ac:dyDescent="0.25">
      <c r="A14" s="8" t="s">
        <v>28</v>
      </c>
      <c r="B14" s="20" t="s">
        <v>29</v>
      </c>
      <c r="C14" s="19"/>
      <c r="D14" s="1" t="s">
        <v>4</v>
      </c>
      <c r="E14" t="s">
        <v>30</v>
      </c>
      <c r="F14" s="21"/>
      <c r="G14" s="21"/>
      <c r="H14" s="21">
        <v>2.5000000000000001E-3</v>
      </c>
    </row>
    <row r="15" spans="1:10" x14ac:dyDescent="0.25">
      <c r="A15" s="19"/>
      <c r="B15" s="7" t="s">
        <v>31</v>
      </c>
      <c r="C15" s="7"/>
      <c r="D15" s="1" t="s">
        <v>10</v>
      </c>
      <c r="E15" s="1" t="s">
        <v>32</v>
      </c>
      <c r="H15" s="1">
        <v>100</v>
      </c>
    </row>
    <row r="16" spans="1:10" x14ac:dyDescent="0.25">
      <c r="F16" s="4"/>
      <c r="G16" s="4"/>
      <c r="H16" s="4"/>
    </row>
    <row r="17" spans="2:8" x14ac:dyDescent="0.25">
      <c r="F17" s="4"/>
      <c r="G17" s="4"/>
      <c r="H17" s="4"/>
    </row>
    <row r="18" spans="2:8" x14ac:dyDescent="0.25">
      <c r="B18" s="2"/>
      <c r="F18" s="4"/>
      <c r="G18" s="4"/>
      <c r="H18" s="4"/>
    </row>
    <row r="19" spans="2:8" x14ac:dyDescent="0.25">
      <c r="B19" s="2"/>
      <c r="F19" s="4"/>
      <c r="G19" s="4"/>
      <c r="H19" s="4"/>
    </row>
    <row r="20" spans="2:8" x14ac:dyDescent="0.25">
      <c r="F20" s="4"/>
      <c r="G20" s="4"/>
      <c r="H20" s="4"/>
    </row>
    <row r="21" spans="2:8" x14ac:dyDescent="0.25">
      <c r="F21" s="4"/>
      <c r="G21" s="4"/>
      <c r="H21" s="4"/>
    </row>
    <row r="22" spans="2:8" x14ac:dyDescent="0.25">
      <c r="B22" s="2"/>
      <c r="H22" s="3"/>
    </row>
    <row r="23" spans="2:8" x14ac:dyDescent="0.25">
      <c r="B23" s="2"/>
      <c r="H23" s="3"/>
    </row>
  </sheetData>
  <conditionalFormatting sqref="A22:A23">
    <cfRule type="cellIs" dxfId="15" priority="7" operator="equal">
      <formula>"class"</formula>
    </cfRule>
  </conditionalFormatting>
  <conditionalFormatting sqref="A4:B7 A9:B13">
    <cfRule type="cellIs" dxfId="14" priority="6" operator="equal">
      <formula>"class"</formula>
    </cfRule>
  </conditionalFormatting>
  <conditionalFormatting sqref="A18:B21">
    <cfRule type="cellIs" dxfId="13" priority="8" operator="equal">
      <formula>"class"</formula>
    </cfRule>
  </conditionalFormatting>
  <conditionalFormatting sqref="B14:C14 A15">
    <cfRule type="cellIs" dxfId="12" priority="4" operator="equal">
      <formula>"class"</formula>
    </cfRule>
  </conditionalFormatting>
  <conditionalFormatting sqref="E5 E7">
    <cfRule type="cellIs" dxfId="11" priority="5" operator="equal">
      <formula>"class"</formula>
    </cfRule>
  </conditionalFormatting>
  <conditionalFormatting sqref="E10:E14">
    <cfRule type="cellIs" dxfId="10" priority="3" operator="equal">
      <formula>"class"</formula>
    </cfRule>
  </conditionalFormatting>
  <conditionalFormatting sqref="A8:B8">
    <cfRule type="cellIs" dxfId="9" priority="2" operator="equal">
      <formula>"class"</formula>
    </cfRule>
  </conditionalFormatting>
  <conditionalFormatting sqref="E8">
    <cfRule type="cellIs" dxfId="8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26C3-DD74-4ADE-994A-B897C022BA5F}">
  <sheetPr>
    <tabColor theme="8" tint="-0.249977111117893"/>
  </sheetPr>
  <dimension ref="A1:J23"/>
  <sheetViews>
    <sheetView workbookViewId="0">
      <pane xSplit="3" ySplit="1" topLeftCell="D2" activePane="bottomRight" state="frozen"/>
      <selection activeCell="J18" sqref="J18"/>
      <selection pane="topRight" activeCell="J18" sqref="J18"/>
      <selection pane="bottomLeft" activeCell="J18" sqref="J18"/>
      <selection pane="bottomRight" activeCell="A8" sqref="A8:XFD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10" x14ac:dyDescent="0.25">
      <c r="A1" s="17"/>
      <c r="B1" s="15"/>
      <c r="C1" s="16"/>
      <c r="D1" s="15" t="s">
        <v>25</v>
      </c>
      <c r="E1" s="15" t="s">
        <v>24</v>
      </c>
      <c r="F1" s="15" t="s">
        <v>23</v>
      </c>
      <c r="G1" s="15" t="s">
        <v>22</v>
      </c>
      <c r="H1" s="15" t="s">
        <v>21</v>
      </c>
    </row>
    <row r="2" spans="1:10" x14ac:dyDescent="0.25">
      <c r="A2" s="8" t="s">
        <v>20</v>
      </c>
      <c r="B2" s="7"/>
      <c r="C2" s="7"/>
      <c r="E2" s="4"/>
      <c r="F2" s="4"/>
      <c r="G2" s="4"/>
      <c r="H2" s="14" t="s">
        <v>19</v>
      </c>
    </row>
    <row r="3" spans="1:10" x14ac:dyDescent="0.25">
      <c r="A3" s="8" t="s">
        <v>18</v>
      </c>
      <c r="B3" s="7"/>
      <c r="C3" s="7"/>
      <c r="F3" s="4"/>
      <c r="G3" s="4"/>
      <c r="H3" s="14" t="s">
        <v>27</v>
      </c>
    </row>
    <row r="4" spans="1:10" x14ac:dyDescent="0.25">
      <c r="A4" s="8" t="s">
        <v>1</v>
      </c>
      <c r="B4" s="13"/>
      <c r="C4" s="13"/>
      <c r="D4" s="13"/>
      <c r="E4" s="13"/>
      <c r="F4" s="12"/>
      <c r="G4" s="12"/>
      <c r="H4" s="11" t="s">
        <v>16</v>
      </c>
    </row>
    <row r="5" spans="1:10" x14ac:dyDescent="0.25">
      <c r="A5" s="8" t="s">
        <v>15</v>
      </c>
      <c r="B5" s="7" t="s">
        <v>8</v>
      </c>
      <c r="C5" s="7"/>
      <c r="D5" s="1" t="s">
        <v>4</v>
      </c>
      <c r="E5" s="1" t="s">
        <v>14</v>
      </c>
      <c r="F5" s="4">
        <v>0.15379999999999999</v>
      </c>
      <c r="G5" s="6">
        <v>0</v>
      </c>
      <c r="H5" s="4">
        <v>0.24</v>
      </c>
    </row>
    <row r="6" spans="1:10" x14ac:dyDescent="0.25">
      <c r="A6" s="8"/>
      <c r="B6" s="9" t="s">
        <v>13</v>
      </c>
      <c r="C6" s="7"/>
      <c r="D6" s="1" t="s">
        <v>4</v>
      </c>
      <c r="E6" s="1" t="s">
        <v>12</v>
      </c>
      <c r="F6" s="10">
        <v>0.15379999999999999</v>
      </c>
      <c r="G6" s="10">
        <f>0.65-0.25</f>
        <v>0.4</v>
      </c>
      <c r="H6" s="10">
        <v>0.24</v>
      </c>
      <c r="J6" s="9" t="s">
        <v>12</v>
      </c>
    </row>
    <row r="7" spans="1:10" x14ac:dyDescent="0.25">
      <c r="A7" s="8"/>
      <c r="B7" s="7" t="s">
        <v>4</v>
      </c>
      <c r="C7" s="7"/>
      <c r="D7" s="1" t="s">
        <v>3</v>
      </c>
      <c r="E7" s="1" t="s">
        <v>2</v>
      </c>
      <c r="F7" s="6"/>
      <c r="G7" s="6"/>
      <c r="H7" s="6">
        <v>19.792000000000002</v>
      </c>
    </row>
    <row r="8" spans="1:10" customFormat="1" x14ac:dyDescent="0.25">
      <c r="A8" s="19"/>
      <c r="B8" s="20" t="s">
        <v>34</v>
      </c>
      <c r="C8" s="20"/>
      <c r="D8" t="s">
        <v>35</v>
      </c>
      <c r="F8" s="22"/>
      <c r="G8" s="22"/>
      <c r="H8" s="22">
        <v>10</v>
      </c>
    </row>
    <row r="9" spans="1:10" x14ac:dyDescent="0.25">
      <c r="A9" s="8"/>
      <c r="B9" s="7" t="s">
        <v>11</v>
      </c>
      <c r="C9" s="7"/>
      <c r="D9" s="1" t="s">
        <v>10</v>
      </c>
      <c r="E9" s="1" t="s">
        <v>33</v>
      </c>
      <c r="F9" s="6"/>
      <c r="G9" s="6"/>
      <c r="H9" s="6">
        <v>50</v>
      </c>
    </row>
    <row r="10" spans="1:10" x14ac:dyDescent="0.25">
      <c r="A10" s="8" t="s">
        <v>9</v>
      </c>
      <c r="B10" s="7" t="s">
        <v>8</v>
      </c>
      <c r="C10" s="7"/>
      <c r="D10" s="1" t="s">
        <v>4</v>
      </c>
      <c r="F10" s="18">
        <v>-1.0213531220517</v>
      </c>
      <c r="G10" s="18">
        <v>-0.37675517503754502</v>
      </c>
      <c r="H10" s="18">
        <v>1.2232615388534001</v>
      </c>
    </row>
    <row r="11" spans="1:10" x14ac:dyDescent="0.25">
      <c r="A11" s="8"/>
      <c r="B11" s="7" t="s">
        <v>6</v>
      </c>
      <c r="C11" s="7"/>
      <c r="D11" s="1" t="s">
        <v>5</v>
      </c>
      <c r="F11" s="6"/>
      <c r="G11" s="6"/>
      <c r="H11" s="6">
        <v>0.35289999999999999</v>
      </c>
    </row>
    <row r="12" spans="1:10" x14ac:dyDescent="0.25">
      <c r="A12" s="8"/>
      <c r="B12" s="7" t="s">
        <v>4</v>
      </c>
      <c r="C12" s="7"/>
      <c r="D12" s="1" t="s">
        <v>3</v>
      </c>
      <c r="E12" s="1" t="s">
        <v>2</v>
      </c>
      <c r="F12" s="6"/>
      <c r="G12" s="6"/>
      <c r="H12" s="6">
        <v>1</v>
      </c>
    </row>
    <row r="13" spans="1:10" x14ac:dyDescent="0.25">
      <c r="A13" s="8"/>
      <c r="B13" s="7" t="s">
        <v>1</v>
      </c>
      <c r="C13" s="7"/>
      <c r="F13" s="6"/>
      <c r="G13" s="6"/>
      <c r="H13" s="6" t="s">
        <v>0</v>
      </c>
    </row>
    <row r="14" spans="1:10" x14ac:dyDescent="0.25">
      <c r="A14" s="8" t="s">
        <v>28</v>
      </c>
      <c r="B14" s="20" t="s">
        <v>29</v>
      </c>
      <c r="C14" s="19"/>
      <c r="D14" s="1" t="s">
        <v>4</v>
      </c>
      <c r="E14" t="s">
        <v>30</v>
      </c>
      <c r="F14" s="21"/>
      <c r="G14" s="21"/>
      <c r="H14" s="21">
        <v>2.5000000000000001E-3</v>
      </c>
    </row>
    <row r="15" spans="1:10" x14ac:dyDescent="0.25">
      <c r="A15" s="19"/>
      <c r="B15" s="7" t="s">
        <v>31</v>
      </c>
      <c r="C15" s="7"/>
      <c r="D15" s="1" t="s">
        <v>10</v>
      </c>
      <c r="E15" s="1" t="s">
        <v>32</v>
      </c>
      <c r="H15" s="1">
        <v>100</v>
      </c>
    </row>
    <row r="16" spans="1:10" x14ac:dyDescent="0.25">
      <c r="F16" s="4"/>
      <c r="G16" s="4"/>
      <c r="H16" s="4"/>
    </row>
    <row r="17" spans="2:8" x14ac:dyDescent="0.25">
      <c r="F17" s="4"/>
      <c r="G17" s="4"/>
      <c r="H17" s="4"/>
    </row>
    <row r="18" spans="2:8" x14ac:dyDescent="0.25">
      <c r="B18" s="2"/>
      <c r="F18" s="4"/>
      <c r="G18" s="4"/>
      <c r="H18" s="4"/>
    </row>
    <row r="19" spans="2:8" x14ac:dyDescent="0.25">
      <c r="B19" s="2"/>
      <c r="F19" s="4"/>
      <c r="G19" s="4"/>
      <c r="H19" s="4"/>
    </row>
    <row r="20" spans="2:8" x14ac:dyDescent="0.25">
      <c r="F20" s="4"/>
      <c r="G20" s="4"/>
      <c r="H20" s="4"/>
    </row>
    <row r="21" spans="2:8" x14ac:dyDescent="0.25">
      <c r="F21" s="4"/>
      <c r="G21" s="4"/>
      <c r="H21" s="4"/>
    </row>
    <row r="22" spans="2:8" x14ac:dyDescent="0.25">
      <c r="B22" s="2"/>
      <c r="H22" s="3"/>
    </row>
    <row r="23" spans="2:8" x14ac:dyDescent="0.25">
      <c r="B23" s="2"/>
      <c r="H23" s="3"/>
    </row>
  </sheetData>
  <conditionalFormatting sqref="A22:A23">
    <cfRule type="cellIs" dxfId="7" priority="7" operator="equal">
      <formula>"class"</formula>
    </cfRule>
  </conditionalFormatting>
  <conditionalFormatting sqref="A4:B7 A9:B13">
    <cfRule type="cellIs" dxfId="6" priority="6" operator="equal">
      <formula>"class"</formula>
    </cfRule>
  </conditionalFormatting>
  <conditionalFormatting sqref="A18:B21">
    <cfRule type="cellIs" dxfId="5" priority="8" operator="equal">
      <formula>"class"</formula>
    </cfRule>
  </conditionalFormatting>
  <conditionalFormatting sqref="B14:C14 A15">
    <cfRule type="cellIs" dxfId="4" priority="4" operator="equal">
      <formula>"class"</formula>
    </cfRule>
  </conditionalFormatting>
  <conditionalFormatting sqref="E5 E7">
    <cfRule type="cellIs" dxfId="3" priority="5" operator="equal">
      <formula>"class"</formula>
    </cfRule>
  </conditionalFormatting>
  <conditionalFormatting sqref="E10:E14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RWheelVarRatio_Hamba_f</vt:lpstr>
      <vt:lpstr>RWheelVarRatio_HambaLG_f</vt:lpstr>
      <vt:lpstr>RWheelVarRatio_SUVLandy_f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2025-10-25T19:30:31Z</dcterms:created>
  <dcterms:modified xsi:type="dcterms:W3CDTF">2026-06-11T15:35:07Z</dcterms:modified>
</cp:coreProperties>
</file>