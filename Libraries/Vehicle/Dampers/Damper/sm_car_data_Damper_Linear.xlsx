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30"/>
  <workbookPr defaultThemeVersion="166925"/>
  <mc:AlternateContent xmlns:mc="http://schemas.openxmlformats.org/markup-compatibility/2006">
    <mc:Choice Requires="x15">
      <x15ac:absPath xmlns:x15ac="http://schemas.microsoft.com/office/spreadsheetml/2010/11/ac" url="C:\GIT\Others\smiller\ssvt_srcR22a\Libraries\Vehicle\Dampers\Damper\"/>
    </mc:Choice>
  </mc:AlternateContent>
  <xr:revisionPtr revIDLastSave="0" documentId="13_ncr:1_{4716CE18-76AF-4225-884A-1C814229B2DD}" xr6:coauthVersionLast="47" xr6:coauthVersionMax="47" xr10:uidLastSave="{00000000-0000-0000-0000-000000000000}"/>
  <bookViews>
    <workbookView xWindow="8130" yWindow="2010" windowWidth="21945" windowHeight="13260" tabRatio="967" xr2:uid="{C5A4D212-38D5-4645-961A-DE2D82DDDABE}"/>
  </bookViews>
  <sheets>
    <sheet name="None" sheetId="28" r:id="rId1"/>
    <sheet name="No_Damper" sheetId="27" r:id="rId2"/>
    <sheet name="Sedan_HambaLG_f" sheetId="1" r:id="rId3"/>
    <sheet name="Sedan_HambaLG_r" sheetId="3" r:id="rId4"/>
    <sheet name="Sedan_HambaLG_Mac_f" sheetId="21" r:id="rId5"/>
    <sheet name="Sedan_HambaLG_stiff_f" sheetId="2" r:id="rId6"/>
    <sheet name="Sedan_HambaLG_stiff_r" sheetId="4" r:id="rId7"/>
    <sheet name="Sedan_Hamba_f" sheetId="5" r:id="rId8"/>
    <sheet name="Sedan_Hamba_r" sheetId="6" r:id="rId9"/>
    <sheet name="Sedan_Hamba_Mac_f" sheetId="22" r:id="rId10"/>
    <sheet name="SUV_Landy_TA2PR_f" sheetId="23" r:id="rId11"/>
    <sheet name="SUV_Landy_DW_f" sheetId="26" r:id="rId12"/>
    <sheet name="SUV_Landy_TA3_r" sheetId="24" r:id="rId13"/>
    <sheet name="SUV_Landy_TA4Watts_r" sheetId="25" r:id="rId14"/>
    <sheet name="Achilles_f" sheetId="14" r:id="rId15"/>
    <sheet name="Achilles_r" sheetId="15" r:id="rId16"/>
    <sheet name="Achilles_Push_f" sheetId="19" r:id="rId17"/>
    <sheet name="Achilles_Push_r" sheetId="20" r:id="rId18"/>
    <sheet name="Achilles_DW_f" sheetId="16" r:id="rId19"/>
    <sheet name="Achilles_DW_r" sheetId="17" r:id="rId20"/>
    <sheet name="Sedan_Hamba_LiveAxle_r" sheetId="11" r:id="rId21"/>
    <sheet name="Sedan_Hamba_TwistBeam_r" sheetId="18" r:id="rId22"/>
    <sheet name="Bus_Makhulu_f" sheetId="7" r:id="rId23"/>
    <sheet name="Bus_Makhulu_A2" sheetId="8" r:id="rId24"/>
    <sheet name="Bus_Makhulu_Axle3_A2" sheetId="12" r:id="rId25"/>
    <sheet name="Bus_Makhulu_Axle3_A3" sheetId="13" r:id="rId26"/>
    <sheet name="Trailer1Elula_f" sheetId="9" r:id="rId27"/>
    <sheet name="Trailer1Thwala_f" sheetId="10" r:id="rId28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8" i="24" l="1"/>
  <c r="H5" i="17" l="1"/>
  <c r="H5" i="16"/>
  <c r="G7" i="26"/>
  <c r="G6" i="26"/>
  <c r="F6" i="25"/>
  <c r="F7" i="22"/>
  <c r="F6" i="22"/>
  <c r="F7" i="12"/>
  <c r="F6" i="12"/>
  <c r="F7" i="13"/>
  <c r="F6" i="13"/>
  <c r="H7" i="10" l="1"/>
  <c r="H6" i="10"/>
  <c r="H7" i="9"/>
  <c r="H6" i="9"/>
  <c r="F7" i="7"/>
  <c r="F6" i="7"/>
  <c r="F7" i="8"/>
  <c r="F6" i="8"/>
  <c r="F7" i="6"/>
  <c r="F6" i="6"/>
  <c r="F7" i="5"/>
  <c r="F6" i="5"/>
</calcChain>
</file>

<file path=xl/sharedStrings.xml><?xml version="1.0" encoding="utf-8"?>
<sst xmlns="http://schemas.openxmlformats.org/spreadsheetml/2006/main" count="1088" uniqueCount="54">
  <si>
    <t>Units</t>
  </si>
  <si>
    <t>Comments</t>
  </si>
  <si>
    <t>x</t>
  </si>
  <si>
    <t>y</t>
  </si>
  <si>
    <t>z or scalar</t>
  </si>
  <si>
    <t>Type</t>
  </si>
  <si>
    <t>Damper</t>
  </si>
  <si>
    <t>Instance</t>
  </si>
  <si>
    <t>class</t>
  </si>
  <si>
    <t>Linear</t>
  </si>
  <si>
    <t>Damping</t>
  </si>
  <si>
    <t>d</t>
  </si>
  <si>
    <t>N/(m/s)</t>
  </si>
  <si>
    <t>sTop</t>
  </si>
  <si>
    <t>m</t>
  </si>
  <si>
    <t>sBottom</t>
  </si>
  <si>
    <t>Endstop</t>
  </si>
  <si>
    <t>xMax</t>
  </si>
  <si>
    <t>xMin</t>
  </si>
  <si>
    <t>KxMax</t>
  </si>
  <si>
    <t>N/m</t>
  </si>
  <si>
    <t>KxMin</t>
  </si>
  <si>
    <t>dxMax</t>
  </si>
  <si>
    <t>dxMin</t>
  </si>
  <si>
    <t>xTransition</t>
  </si>
  <si>
    <t>Sedan_Hamba_LiveAxle_A2</t>
  </si>
  <si>
    <t>Sedan_HambaLG_Linear_A1</t>
  </si>
  <si>
    <t>Sedan_HambaLG_Linear_A2</t>
  </si>
  <si>
    <t>Sedan_HambaLG_Linear_stiff_A1</t>
  </si>
  <si>
    <t>Sedan_HambaLG_Linear_stiff_A2</t>
  </si>
  <si>
    <t>Sedan_Hamba_Linear_A1</t>
  </si>
  <si>
    <t>Sedan_Hamba_Linear_A2</t>
  </si>
  <si>
    <t>Bus_Makhulu_Linear_A1</t>
  </si>
  <si>
    <t>Bus_Makhulu_Linear_A2</t>
  </si>
  <si>
    <t>Trailer_Elula_Linear_A1</t>
  </si>
  <si>
    <t>Trailer_Thwala_Linear_A1</t>
  </si>
  <si>
    <t>Bus_Makhulu_Axle3_Linear_A2</t>
  </si>
  <si>
    <t>Bus_Makhulu_Axle3_Linear_A3</t>
  </si>
  <si>
    <t>FSAE_Achilles_Linear_A1</t>
  </si>
  <si>
    <t>FSAE_Achilles_Linear_A2</t>
  </si>
  <si>
    <t>FSAE_Achilles_DW_Linear_A1</t>
  </si>
  <si>
    <t>FSAE_Achilles_DW_Linear_A2</t>
  </si>
  <si>
    <t>Sedan_Hamba_TwistBeam_A2</t>
  </si>
  <si>
    <t>Must be consistent with values in Linkage</t>
  </si>
  <si>
    <t>FSAE_Achilles_Push_Linear_A1</t>
  </si>
  <si>
    <t>FSAE_Achilles_Push_Linear_A2</t>
  </si>
  <si>
    <t>Sedan_HambaLG_Mac_Linear_A1</t>
  </si>
  <si>
    <t>Sedan_Hamba_Mac_Linear_A1</t>
  </si>
  <si>
    <t>SUV_Landy_TA2PR_Linear_A1</t>
  </si>
  <si>
    <t>SUV_Landy_TA3_Linear_A2</t>
  </si>
  <si>
    <t>SUV_Landy_TA4Watts_Linear_A2</t>
  </si>
  <si>
    <t>SUV_Landy_DW_Linear_A1</t>
  </si>
  <si>
    <t>No_Damper</t>
  </si>
  <si>
    <t>None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</si>
</sst>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"/>
  </numFmts>
  <fonts count="3" x14ac:knownFonts="1">
    <font>
      <sz val="11"/>
      <color theme="1"/>
      <name val="Calibri"/>
      <family val="2"/>
    </font>
    <font>
      <b/>
      <sz val="11"/>
      <color theme="1"/>
      <name val="Calibri"/>
      <family val="2"/>
    </font>
    <font>
      <sz val="11"/>
      <name val="Calibri"/>
      <family val="2"/>
    </font>
  </fonts>
  <fills count="7">
    <fill>
      <patternFill patternType="none"/>
    </fill>
    <fill>
      <patternFill patternType="gray125"/>
    </fill>
    <fill>
      <patternFill patternType="solid">
        <fgColor theme="2" tint="-9.9978637043366805E-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7" tint="0.59999389629810485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5">
    <xf numFmtId="0" fontId="0" fillId="0" borderId="0" xfId="0"/>
    <xf numFmtId="0" fontId="1" fillId="2" borderId="0" xfId="0" applyFont="1" applyFill="1" applyAlignment="1">
      <alignment horizontal="left"/>
    </xf>
    <xf numFmtId="0" fontId="1" fillId="2" borderId="0" xfId="0" applyFont="1" applyFill="1" applyAlignment="1">
      <alignment horizontal="center"/>
    </xf>
    <xf numFmtId="0" fontId="0" fillId="2" borderId="0" xfId="0" applyFill="1"/>
    <xf numFmtId="0" fontId="0" fillId="3" borderId="0" xfId="0" applyFill="1" applyAlignment="1">
      <alignment horizontal="left"/>
    </xf>
    <xf numFmtId="0" fontId="0" fillId="3" borderId="0" xfId="0" applyFill="1"/>
    <xf numFmtId="2" fontId="2" fillId="0" borderId="0" xfId="0" applyNumberFormat="1" applyFont="1"/>
    <xf numFmtId="2" fontId="2" fillId="0" borderId="0" xfId="0" applyNumberFormat="1" applyFont="1" applyAlignment="1">
      <alignment horizontal="right"/>
    </xf>
    <xf numFmtId="0" fontId="0" fillId="4" borderId="0" xfId="0" applyFill="1" applyAlignment="1">
      <alignment horizontal="left"/>
    </xf>
    <xf numFmtId="0" fontId="0" fillId="4" borderId="0" xfId="0" applyFill="1"/>
    <xf numFmtId="11" fontId="2" fillId="4" borderId="0" xfId="0" applyNumberFormat="1" applyFont="1" applyFill="1" applyAlignment="1">
      <alignment horizontal="right"/>
    </xf>
    <xf numFmtId="0" fontId="2" fillId="0" borderId="0" xfId="0" applyFont="1"/>
    <xf numFmtId="11" fontId="2" fillId="0" borderId="0" xfId="0" applyNumberFormat="1" applyFont="1"/>
    <xf numFmtId="0" fontId="0" fillId="5" borderId="0" xfId="0" applyFill="1"/>
    <xf numFmtId="0" fontId="0" fillId="6" borderId="0" xfId="0" applyFill="1"/>
    <xf numFmtId="0" fontId="0" fillId="0" borderId="0" xfId="0" applyAlignment="1">
      <alignment horizontal="left"/>
    </xf>
    <xf numFmtId="0" fontId="0" fillId="0" borderId="0" xfId="0" applyAlignment="1">
      <alignment horizontal="right"/>
    </xf>
    <xf numFmtId="2" fontId="2" fillId="5" borderId="0" xfId="0" applyNumberFormat="1" applyFont="1" applyFill="1"/>
    <xf numFmtId="2" fontId="2" fillId="6" borderId="0" xfId="0" applyNumberFormat="1" applyFont="1" applyFill="1"/>
    <xf numFmtId="164" fontId="2" fillId="5" borderId="0" xfId="0" applyNumberFormat="1" applyFont="1" applyFill="1"/>
    <xf numFmtId="164" fontId="2" fillId="6" borderId="0" xfId="0" applyNumberFormat="1" applyFont="1" applyFill="1"/>
    <xf numFmtId="2" fontId="0" fillId="5" borderId="0" xfId="0" applyNumberFormat="1" applyFill="1"/>
    <xf numFmtId="164" fontId="0" fillId="5" borderId="0" xfId="0" applyNumberFormat="1" applyFill="1"/>
    <xf numFmtId="0" fontId="2" fillId="4" borderId="0" xfId="0" applyFont="1" applyFill="1"/>
    <xf numFmtId="2" fontId="2" fillId="4" borderId="0" xfId="0" applyNumberFormat="1" applyFont="1" applyFill="1" applyAlignment="1">
      <alignment horizontal="right"/>
    </xf>
  </cellXfs>
  <cellStyles count="1">
    <cellStyle name="Normal" xfId="0" builtinId="0"/>
  </cellStyles>
  <dxfs count="108"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2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687D4F-05FC-417B-8222-DC0B80B5BE3F}">
  <sheetPr>
    <tabColor theme="9" tint="0.39997558519241921"/>
  </sheetPr>
  <dimension ref="A1:H14"/>
  <sheetViews>
    <sheetView tabSelected="1" workbookViewId="0">
      <pane xSplit="3" ySplit="1" topLeftCell="D2" activePane="bottomRight" state="frozen"/>
      <selection activeCell="F16" sqref="F16"/>
      <selection pane="topRight" activeCell="F16" sqref="F16"/>
      <selection pane="bottomLeft" activeCell="F16" sqref="F16"/>
      <selection pane="bottomRight" activeCell="H4" sqref="H4"/>
    </sheetView>
  </sheetViews>
  <sheetFormatPr defaultRowHeight="15" x14ac:dyDescent="0.25"/>
  <cols>
    <col min="1" max="1" width="14.42578125" style="15" customWidth="1"/>
    <col min="2" max="2" width="12.7109375" customWidth="1"/>
    <col min="3" max="5" width="11.140625" customWidth="1"/>
    <col min="6" max="8" width="10" customWidth="1"/>
    <col min="9" max="9" width="6.7109375" customWidth="1"/>
    <col min="10" max="10" width="38.5703125" bestFit="1" customWidth="1"/>
    <col min="11" max="15" width="6.7109375" customWidth="1"/>
  </cols>
  <sheetData>
    <row r="1" spans="1:8" x14ac:dyDescent="0.25">
      <c r="A1" s="1"/>
      <c r="B1" s="2"/>
      <c r="C1" s="3"/>
      <c r="D1" s="2" t="s">
        <v>0</v>
      </c>
      <c r="E1" s="2" t="s">
        <v>1</v>
      </c>
      <c r="F1" s="2" t="s">
        <v>2</v>
      </c>
      <c r="G1" s="2" t="s">
        <v>3</v>
      </c>
      <c r="H1" s="2" t="s">
        <v>4</v>
      </c>
    </row>
    <row r="2" spans="1:8" x14ac:dyDescent="0.25">
      <c r="A2" s="4" t="s">
        <v>5</v>
      </c>
      <c r="B2" s="5"/>
      <c r="C2" s="5"/>
      <c r="E2" s="6"/>
      <c r="F2" s="6"/>
      <c r="G2" s="6"/>
      <c r="H2" s="7" t="s">
        <v>6</v>
      </c>
    </row>
    <row r="3" spans="1:8" x14ac:dyDescent="0.25">
      <c r="A3" s="4" t="s">
        <v>7</v>
      </c>
      <c r="B3" s="5"/>
      <c r="C3" s="5"/>
      <c r="F3" s="6"/>
      <c r="G3" s="6"/>
      <c r="H3" s="7" t="s">
        <v>53</v>
      </c>
    </row>
    <row r="4" spans="1:8" x14ac:dyDescent="0.25">
      <c r="A4" s="8" t="s">
        <v>8</v>
      </c>
      <c r="B4" s="9"/>
      <c r="C4" s="9"/>
      <c r="D4" s="9"/>
      <c r="E4" s="9"/>
      <c r="F4" s="23"/>
      <c r="G4" s="23"/>
      <c r="H4" s="24" t="s">
        <v>53</v>
      </c>
    </row>
    <row r="5" spans="1:8" x14ac:dyDescent="0.25">
      <c r="F5" s="6"/>
      <c r="G5" s="6"/>
      <c r="H5" s="6"/>
    </row>
    <row r="6" spans="1:8" x14ac:dyDescent="0.25">
      <c r="F6" s="6"/>
      <c r="G6" s="6"/>
      <c r="H6" s="6"/>
    </row>
    <row r="7" spans="1:8" x14ac:dyDescent="0.25">
      <c r="F7" s="6"/>
      <c r="G7" s="6"/>
      <c r="H7" s="6"/>
    </row>
    <row r="8" spans="1:8" x14ac:dyDescent="0.25">
      <c r="F8" s="6"/>
      <c r="G8" s="6"/>
      <c r="H8" s="6"/>
    </row>
    <row r="9" spans="1:8" x14ac:dyDescent="0.25">
      <c r="B9" s="15"/>
      <c r="F9" s="6"/>
      <c r="G9" s="6"/>
      <c r="H9" s="6"/>
    </row>
    <row r="10" spans="1:8" x14ac:dyDescent="0.25">
      <c r="B10" s="15"/>
      <c r="F10" s="6"/>
      <c r="G10" s="6"/>
      <c r="H10" s="6"/>
    </row>
    <row r="11" spans="1:8" x14ac:dyDescent="0.25">
      <c r="F11" s="6"/>
      <c r="G11" s="6"/>
      <c r="H11" s="6"/>
    </row>
    <row r="12" spans="1:8" x14ac:dyDescent="0.25">
      <c r="F12" s="6"/>
      <c r="G12" s="6"/>
      <c r="H12" s="6"/>
    </row>
    <row r="13" spans="1:8" x14ac:dyDescent="0.25">
      <c r="B13" s="15"/>
      <c r="H13" s="16"/>
    </row>
    <row r="14" spans="1:8" x14ac:dyDescent="0.25">
      <c r="B14" s="15"/>
      <c r="H14" s="16"/>
    </row>
  </sheetData>
  <conditionalFormatting sqref="A4 A9:B12">
    <cfRule type="cellIs" dxfId="1" priority="2" operator="equal">
      <formula>"class"</formula>
    </cfRule>
  </conditionalFormatting>
  <conditionalFormatting sqref="A13:A14">
    <cfRule type="cellIs" dxfId="0" priority="1" operator="equal">
      <formula>"class"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FE4CED-4A95-4EF6-B3C2-2770019B3BF1}">
  <sheetPr>
    <tabColor theme="9" tint="0.39997558519241921"/>
  </sheetPr>
  <dimension ref="A1:H14"/>
  <sheetViews>
    <sheetView workbookViewId="0">
      <pane xSplit="3" ySplit="1" topLeftCell="D2" activePane="bottomRight" state="frozen"/>
      <selection activeCell="F16" sqref="F16"/>
      <selection pane="topRight" activeCell="F16" sqref="F16"/>
      <selection pane="bottomLeft" activeCell="F16" sqref="F16"/>
      <selection pane="bottomRight" activeCell="J20" sqref="J20"/>
    </sheetView>
  </sheetViews>
  <sheetFormatPr defaultRowHeight="15" x14ac:dyDescent="0.25"/>
  <cols>
    <col min="1" max="1" width="14.42578125" style="15" customWidth="1"/>
    <col min="2" max="2" width="12.7109375" customWidth="1"/>
    <col min="3" max="5" width="11.140625" customWidth="1"/>
    <col min="6" max="8" width="10" customWidth="1"/>
    <col min="9" max="9" width="6.7109375" customWidth="1"/>
    <col min="10" max="10" width="38.5703125" bestFit="1" customWidth="1"/>
    <col min="11" max="15" width="6.7109375" customWidth="1"/>
  </cols>
  <sheetData>
    <row r="1" spans="1:8" x14ac:dyDescent="0.25">
      <c r="A1" s="1"/>
      <c r="B1" s="2"/>
      <c r="C1" s="3"/>
      <c r="D1" s="2" t="s">
        <v>0</v>
      </c>
      <c r="E1" s="2" t="s">
        <v>1</v>
      </c>
      <c r="F1" s="2" t="s">
        <v>2</v>
      </c>
      <c r="G1" s="2" t="s">
        <v>3</v>
      </c>
      <c r="H1" s="2" t="s">
        <v>4</v>
      </c>
    </row>
    <row r="2" spans="1:8" x14ac:dyDescent="0.25">
      <c r="A2" s="4" t="s">
        <v>5</v>
      </c>
      <c r="B2" s="5"/>
      <c r="C2" s="5"/>
      <c r="E2" s="6"/>
      <c r="F2" s="6"/>
      <c r="G2" s="6"/>
      <c r="H2" s="7" t="s">
        <v>6</v>
      </c>
    </row>
    <row r="3" spans="1:8" x14ac:dyDescent="0.25">
      <c r="A3" s="4" t="s">
        <v>7</v>
      </c>
      <c r="B3" s="5"/>
      <c r="C3" s="5"/>
      <c r="F3" s="6"/>
      <c r="G3" s="6"/>
      <c r="H3" s="7" t="s">
        <v>52</v>
      </c>
    </row>
    <row r="4" spans="1:8" x14ac:dyDescent="0.25">
      <c r="A4" s="8" t="s">
        <v>8</v>
      </c>
      <c r="B4" s="9"/>
      <c r="C4" s="9"/>
      <c r="D4" s="9"/>
      <c r="E4" s="9"/>
      <c r="F4" s="23"/>
      <c r="G4" s="23"/>
      <c r="H4" s="24" t="s">
        <v>52</v>
      </c>
    </row>
    <row r="5" spans="1:8" x14ac:dyDescent="0.25">
      <c r="F5" s="6"/>
      <c r="G5" s="6"/>
      <c r="H5" s="6"/>
    </row>
    <row r="6" spans="1:8" x14ac:dyDescent="0.25">
      <c r="F6" s="6"/>
      <c r="G6" s="6"/>
      <c r="H6" s="6"/>
    </row>
    <row r="7" spans="1:8" x14ac:dyDescent="0.25">
      <c r="F7" s="6"/>
      <c r="G7" s="6"/>
      <c r="H7" s="6"/>
    </row>
    <row r="8" spans="1:8" x14ac:dyDescent="0.25">
      <c r="F8" s="6"/>
      <c r="G8" s="6"/>
      <c r="H8" s="6"/>
    </row>
    <row r="9" spans="1:8" x14ac:dyDescent="0.25">
      <c r="B9" s="15"/>
      <c r="F9" s="6"/>
      <c r="G9" s="6"/>
      <c r="H9" s="6"/>
    </row>
    <row r="10" spans="1:8" x14ac:dyDescent="0.25">
      <c r="B10" s="15"/>
      <c r="F10" s="6"/>
      <c r="G10" s="6"/>
      <c r="H10" s="6"/>
    </row>
    <row r="11" spans="1:8" x14ac:dyDescent="0.25">
      <c r="F11" s="6"/>
      <c r="G11" s="6"/>
      <c r="H11" s="6"/>
    </row>
    <row r="12" spans="1:8" x14ac:dyDescent="0.25">
      <c r="F12" s="6"/>
      <c r="G12" s="6"/>
      <c r="H12" s="6"/>
    </row>
    <row r="13" spans="1:8" x14ac:dyDescent="0.25">
      <c r="B13" s="15"/>
      <c r="H13" s="16"/>
    </row>
    <row r="14" spans="1:8" x14ac:dyDescent="0.25">
      <c r="B14" s="15"/>
      <c r="H14" s="16"/>
    </row>
  </sheetData>
  <conditionalFormatting sqref="A4 A9:B12">
    <cfRule type="cellIs" dxfId="107" priority="2" operator="equal">
      <formula>"class"</formula>
    </cfRule>
  </conditionalFormatting>
  <conditionalFormatting sqref="A13:A14">
    <cfRule type="cellIs" dxfId="106" priority="1" operator="equal">
      <formula>"class"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E884C41-AB00-42A6-9A88-94E18C7C5F41}">
  <sheetPr>
    <tabColor theme="8" tint="-0.249977111117893"/>
  </sheetPr>
  <dimension ref="A1:J16"/>
  <sheetViews>
    <sheetView workbookViewId="0">
      <pane xSplit="3" ySplit="1" topLeftCell="D2" activePane="bottomRight" state="frozen"/>
      <selection activeCell="E6" sqref="E6:E9"/>
      <selection pane="topRight" activeCell="E6" sqref="E6:E9"/>
      <selection pane="bottomLeft" activeCell="E6" sqref="E6:E9"/>
      <selection pane="bottomRight" activeCell="F6" sqref="F6"/>
    </sheetView>
  </sheetViews>
  <sheetFormatPr defaultRowHeight="15" x14ac:dyDescent="0.25"/>
  <cols>
    <col min="1" max="1" width="14.42578125" style="15" customWidth="1"/>
    <col min="2" max="2" width="12.7109375" customWidth="1"/>
    <col min="3" max="3" width="15.7109375" customWidth="1"/>
    <col min="4" max="4" width="11.140625" customWidth="1"/>
    <col min="5" max="5" width="10.140625" bestFit="1" customWidth="1"/>
    <col min="6" max="8" width="10" customWidth="1"/>
    <col min="9" max="9" width="6.7109375" customWidth="1"/>
    <col min="10" max="10" width="38.5703125" bestFit="1" customWidth="1"/>
    <col min="11" max="15" width="6.7109375" customWidth="1"/>
  </cols>
  <sheetData>
    <row r="1" spans="1:10" x14ac:dyDescent="0.25">
      <c r="A1" s="1"/>
      <c r="B1" s="2"/>
      <c r="C1" s="3"/>
      <c r="D1" s="2" t="s">
        <v>0</v>
      </c>
      <c r="E1" s="2" t="s">
        <v>1</v>
      </c>
      <c r="F1" s="2" t="s">
        <v>2</v>
      </c>
      <c r="G1" s="2" t="s">
        <v>3</v>
      </c>
      <c r="H1" s="2" t="s">
        <v>4</v>
      </c>
    </row>
    <row r="2" spans="1:10" x14ac:dyDescent="0.25">
      <c r="A2" s="4" t="s">
        <v>5</v>
      </c>
      <c r="B2" s="5"/>
      <c r="C2" s="5"/>
      <c r="E2" s="6"/>
      <c r="F2" s="6"/>
      <c r="G2" s="6"/>
      <c r="H2" s="7" t="s">
        <v>6</v>
      </c>
    </row>
    <row r="3" spans="1:10" x14ac:dyDescent="0.25">
      <c r="A3" s="4" t="s">
        <v>7</v>
      </c>
      <c r="B3" s="5"/>
      <c r="C3" s="5"/>
      <c r="F3" s="6"/>
      <c r="G3" s="6"/>
      <c r="H3" s="7" t="s">
        <v>26</v>
      </c>
    </row>
    <row r="4" spans="1:10" x14ac:dyDescent="0.25">
      <c r="A4" s="8" t="s">
        <v>8</v>
      </c>
      <c r="B4" s="9"/>
      <c r="C4" s="9"/>
      <c r="D4" s="9"/>
      <c r="E4" s="9"/>
      <c r="F4" s="9"/>
      <c r="G4" s="9"/>
      <c r="H4" s="10" t="s">
        <v>9</v>
      </c>
    </row>
    <row r="5" spans="1:10" x14ac:dyDescent="0.25">
      <c r="A5" s="4" t="s">
        <v>10</v>
      </c>
      <c r="B5" s="5" t="s">
        <v>11</v>
      </c>
      <c r="C5" s="5"/>
      <c r="D5" t="s">
        <v>12</v>
      </c>
      <c r="F5" s="11"/>
      <c r="G5" s="11"/>
      <c r="H5" s="12">
        <v>5000</v>
      </c>
    </row>
    <row r="6" spans="1:10" x14ac:dyDescent="0.25">
      <c r="A6" s="4"/>
      <c r="B6" s="13" t="s">
        <v>13</v>
      </c>
      <c r="C6" s="5"/>
      <c r="D6" t="s">
        <v>14</v>
      </c>
      <c r="E6" t="s">
        <v>43</v>
      </c>
      <c r="F6" s="19">
        <v>-2.6557142857142869E-3</v>
      </c>
      <c r="G6" s="17">
        <v>0.62</v>
      </c>
      <c r="H6" s="17">
        <v>0.65</v>
      </c>
      <c r="J6" s="13" t="s">
        <v>43</v>
      </c>
    </row>
    <row r="7" spans="1:10" x14ac:dyDescent="0.25">
      <c r="A7" s="4"/>
      <c r="B7" s="13" t="s">
        <v>15</v>
      </c>
      <c r="C7" s="5"/>
      <c r="D7" t="s">
        <v>14</v>
      </c>
      <c r="E7" t="s">
        <v>43</v>
      </c>
      <c r="F7" s="19">
        <v>5.5166428571428582E-2</v>
      </c>
      <c r="G7" s="17">
        <v>0.85</v>
      </c>
      <c r="H7" s="17">
        <v>0.19</v>
      </c>
      <c r="J7" s="13" t="s">
        <v>43</v>
      </c>
    </row>
    <row r="8" spans="1:10" x14ac:dyDescent="0.25">
      <c r="A8" s="4" t="s">
        <v>16</v>
      </c>
      <c r="B8" s="14" t="s">
        <v>17</v>
      </c>
      <c r="C8" s="5"/>
      <c r="D8" t="s">
        <v>14</v>
      </c>
      <c r="E8" t="s">
        <v>43</v>
      </c>
      <c r="F8" s="11"/>
      <c r="G8" s="11"/>
      <c r="H8" s="18">
        <v>0.1</v>
      </c>
      <c r="J8" s="14" t="s">
        <v>43</v>
      </c>
    </row>
    <row r="9" spans="1:10" x14ac:dyDescent="0.25">
      <c r="A9" s="4"/>
      <c r="B9" s="14" t="s">
        <v>18</v>
      </c>
      <c r="C9" s="5"/>
      <c r="D9" t="s">
        <v>14</v>
      </c>
      <c r="E9" t="s">
        <v>43</v>
      </c>
      <c r="F9" s="11"/>
      <c r="G9" s="11"/>
      <c r="H9" s="18">
        <v>-0.15</v>
      </c>
      <c r="J9" s="14" t="s">
        <v>43</v>
      </c>
    </row>
    <row r="10" spans="1:10" x14ac:dyDescent="0.25">
      <c r="A10" s="4"/>
      <c r="B10" s="5" t="s">
        <v>19</v>
      </c>
      <c r="C10" s="5"/>
      <c r="D10" t="s">
        <v>20</v>
      </c>
      <c r="F10" s="11"/>
      <c r="G10" s="11"/>
      <c r="H10" s="12">
        <v>1000000</v>
      </c>
    </row>
    <row r="11" spans="1:10" x14ac:dyDescent="0.25">
      <c r="A11" s="4"/>
      <c r="B11" s="5" t="s">
        <v>21</v>
      </c>
      <c r="C11" s="5"/>
      <c r="D11" t="s">
        <v>20</v>
      </c>
      <c r="F11" s="11"/>
      <c r="G11" s="11"/>
      <c r="H11" s="12">
        <v>1000000</v>
      </c>
    </row>
    <row r="12" spans="1:10" x14ac:dyDescent="0.25">
      <c r="A12" s="4"/>
      <c r="B12" s="5" t="s">
        <v>22</v>
      </c>
      <c r="C12" s="5"/>
      <c r="D12" t="s">
        <v>20</v>
      </c>
      <c r="F12" s="11"/>
      <c r="G12" s="11"/>
      <c r="H12" s="12">
        <v>150</v>
      </c>
    </row>
    <row r="13" spans="1:10" x14ac:dyDescent="0.25">
      <c r="A13" s="4"/>
      <c r="B13" s="5" t="s">
        <v>23</v>
      </c>
      <c r="C13" s="5"/>
      <c r="D13" t="s">
        <v>20</v>
      </c>
      <c r="F13" s="11"/>
      <c r="G13" s="11"/>
      <c r="H13" s="12">
        <v>150</v>
      </c>
    </row>
    <row r="14" spans="1:10" x14ac:dyDescent="0.25">
      <c r="A14" s="4"/>
      <c r="B14" s="5" t="s">
        <v>24</v>
      </c>
      <c r="C14" s="5"/>
      <c r="D14" t="s">
        <v>14</v>
      </c>
      <c r="F14" s="11"/>
      <c r="G14" s="11"/>
      <c r="H14" s="12">
        <v>1E-4</v>
      </c>
    </row>
    <row r="15" spans="1:10" x14ac:dyDescent="0.25">
      <c r="B15" s="15"/>
      <c r="H15" s="16"/>
    </row>
    <row r="16" spans="1:10" x14ac:dyDescent="0.25">
      <c r="B16" s="15"/>
      <c r="H16" s="16"/>
    </row>
  </sheetData>
  <conditionalFormatting sqref="A4">
    <cfRule type="cellIs" dxfId="105" priority="2" operator="equal">
      <formula>"class"</formula>
    </cfRule>
  </conditionalFormatting>
  <conditionalFormatting sqref="A15:A16">
    <cfRule type="cellIs" dxfId="104" priority="3" operator="equal">
      <formula>"class"</formula>
    </cfRule>
  </conditionalFormatting>
  <conditionalFormatting sqref="A5:B14">
    <cfRule type="cellIs" dxfId="103" priority="5" operator="equal">
      <formula>"class"</formula>
    </cfRule>
  </conditionalFormatting>
  <conditionalFormatting sqref="B6:B7">
    <cfRule type="cellIs" dxfId="102" priority="1" operator="equal">
      <formula>"class"</formula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0BDB64-2986-4FF9-B225-BEFF96E86BDE}">
  <sheetPr>
    <tabColor theme="8" tint="-0.249977111117893"/>
  </sheetPr>
  <dimension ref="A1:J16"/>
  <sheetViews>
    <sheetView workbookViewId="0">
      <pane xSplit="3" ySplit="1" topLeftCell="D2" activePane="bottomRight" state="frozen"/>
      <selection activeCell="E6" sqref="E6:E9"/>
      <selection pane="topRight" activeCell="E6" sqref="E6:E9"/>
      <selection pane="bottomLeft" activeCell="E6" sqref="E6:E9"/>
      <selection pane="bottomRight" activeCell="E6" sqref="E6:E9"/>
    </sheetView>
  </sheetViews>
  <sheetFormatPr defaultRowHeight="15" x14ac:dyDescent="0.25"/>
  <cols>
    <col min="1" max="1" width="14.42578125" style="15" customWidth="1"/>
    <col min="2" max="2" width="12.7109375" customWidth="1"/>
    <col min="3" max="3" width="15.7109375" customWidth="1"/>
    <col min="4" max="4" width="11.140625" customWidth="1"/>
    <col min="5" max="5" width="10.140625" bestFit="1" customWidth="1"/>
    <col min="6" max="8" width="10" customWidth="1"/>
    <col min="9" max="9" width="6.7109375" customWidth="1"/>
    <col min="10" max="10" width="38.5703125" bestFit="1" customWidth="1"/>
    <col min="11" max="15" width="6.7109375" customWidth="1"/>
  </cols>
  <sheetData>
    <row r="1" spans="1:10" x14ac:dyDescent="0.25">
      <c r="A1" s="1"/>
      <c r="B1" s="2"/>
      <c r="C1" s="3"/>
      <c r="D1" s="2" t="s">
        <v>0</v>
      </c>
      <c r="E1" s="2" t="s">
        <v>1</v>
      </c>
      <c r="F1" s="2" t="s">
        <v>2</v>
      </c>
      <c r="G1" s="2" t="s">
        <v>3</v>
      </c>
      <c r="H1" s="2" t="s">
        <v>4</v>
      </c>
    </row>
    <row r="2" spans="1:10" x14ac:dyDescent="0.25">
      <c r="A2" s="4" t="s">
        <v>5</v>
      </c>
      <c r="B2" s="5"/>
      <c r="C2" s="5"/>
      <c r="E2" s="6"/>
      <c r="F2" s="6"/>
      <c r="G2" s="6"/>
      <c r="H2" s="7" t="s">
        <v>6</v>
      </c>
    </row>
    <row r="3" spans="1:10" x14ac:dyDescent="0.25">
      <c r="A3" s="4" t="s">
        <v>7</v>
      </c>
      <c r="B3" s="5"/>
      <c r="C3" s="5"/>
      <c r="F3" s="6"/>
      <c r="G3" s="6"/>
      <c r="H3" s="7" t="s">
        <v>27</v>
      </c>
    </row>
    <row r="4" spans="1:10" x14ac:dyDescent="0.25">
      <c r="A4" s="4" t="s">
        <v>8</v>
      </c>
      <c r="B4" s="9"/>
      <c r="C4" s="9"/>
      <c r="D4" s="9"/>
      <c r="E4" s="9"/>
      <c r="F4" s="9"/>
      <c r="G4" s="9"/>
      <c r="H4" s="10" t="s">
        <v>9</v>
      </c>
    </row>
    <row r="5" spans="1:10" x14ac:dyDescent="0.25">
      <c r="A5" s="4" t="s">
        <v>10</v>
      </c>
      <c r="B5" s="5" t="s">
        <v>11</v>
      </c>
      <c r="C5" s="5"/>
      <c r="D5" t="s">
        <v>12</v>
      </c>
      <c r="F5" s="11"/>
      <c r="G5" s="11"/>
      <c r="H5" s="12">
        <v>5000</v>
      </c>
    </row>
    <row r="6" spans="1:10" x14ac:dyDescent="0.25">
      <c r="A6" s="4"/>
      <c r="B6" s="13" t="s">
        <v>13</v>
      </c>
      <c r="C6" s="5"/>
      <c r="D6" t="s">
        <v>14</v>
      </c>
      <c r="E6" t="s">
        <v>43</v>
      </c>
      <c r="F6" s="17">
        <v>2.6557142857142869E-3</v>
      </c>
      <c r="G6" s="17">
        <v>0.62</v>
      </c>
      <c r="H6" s="17">
        <v>0.65</v>
      </c>
      <c r="J6" s="13" t="s">
        <v>43</v>
      </c>
    </row>
    <row r="7" spans="1:10" x14ac:dyDescent="0.25">
      <c r="A7" s="4"/>
      <c r="B7" s="13" t="s">
        <v>15</v>
      </c>
      <c r="C7" s="5"/>
      <c r="D7" t="s">
        <v>14</v>
      </c>
      <c r="E7" t="s">
        <v>43</v>
      </c>
      <c r="F7" s="17">
        <v>-5.5166428571428582E-2</v>
      </c>
      <c r="G7" s="17">
        <v>0.85</v>
      </c>
      <c r="H7" s="17">
        <v>0.19</v>
      </c>
      <c r="J7" s="13" t="s">
        <v>43</v>
      </c>
    </row>
    <row r="8" spans="1:10" x14ac:dyDescent="0.25">
      <c r="A8" s="4" t="s">
        <v>16</v>
      </c>
      <c r="B8" s="14" t="s">
        <v>17</v>
      </c>
      <c r="C8" s="5"/>
      <c r="D8" t="s">
        <v>14</v>
      </c>
      <c r="E8" t="s">
        <v>43</v>
      </c>
      <c r="F8" s="11"/>
      <c r="G8" s="11"/>
      <c r="H8" s="18">
        <v>0.1</v>
      </c>
      <c r="J8" s="14" t="s">
        <v>43</v>
      </c>
    </row>
    <row r="9" spans="1:10" x14ac:dyDescent="0.25">
      <c r="A9" s="4"/>
      <c r="B9" s="14" t="s">
        <v>18</v>
      </c>
      <c r="C9" s="5"/>
      <c r="D9" t="s">
        <v>14</v>
      </c>
      <c r="E9" t="s">
        <v>43</v>
      </c>
      <c r="F9" s="11"/>
      <c r="G9" s="11"/>
      <c r="H9" s="18">
        <v>-0.15</v>
      </c>
      <c r="J9" s="14" t="s">
        <v>43</v>
      </c>
    </row>
    <row r="10" spans="1:10" x14ac:dyDescent="0.25">
      <c r="A10" s="4"/>
      <c r="B10" s="5" t="s">
        <v>19</v>
      </c>
      <c r="C10" s="5"/>
      <c r="D10" t="s">
        <v>20</v>
      </c>
      <c r="F10" s="11"/>
      <c r="G10" s="11"/>
      <c r="H10" s="12">
        <v>1000000</v>
      </c>
    </row>
    <row r="11" spans="1:10" x14ac:dyDescent="0.25">
      <c r="A11" s="4"/>
      <c r="B11" s="5" t="s">
        <v>21</v>
      </c>
      <c r="C11" s="5"/>
      <c r="D11" t="s">
        <v>20</v>
      </c>
      <c r="F11" s="11"/>
      <c r="G11" s="11"/>
      <c r="H11" s="12">
        <v>1000000</v>
      </c>
    </row>
    <row r="12" spans="1:10" x14ac:dyDescent="0.25">
      <c r="A12" s="4"/>
      <c r="B12" s="5" t="s">
        <v>22</v>
      </c>
      <c r="C12" s="5"/>
      <c r="D12" t="s">
        <v>20</v>
      </c>
      <c r="F12" s="11"/>
      <c r="G12" s="11"/>
      <c r="H12" s="12">
        <v>150</v>
      </c>
    </row>
    <row r="13" spans="1:10" x14ac:dyDescent="0.25">
      <c r="A13" s="4"/>
      <c r="B13" s="5" t="s">
        <v>23</v>
      </c>
      <c r="C13" s="5"/>
      <c r="D13" t="s">
        <v>20</v>
      </c>
      <c r="F13" s="11"/>
      <c r="G13" s="11"/>
      <c r="H13" s="12">
        <v>150</v>
      </c>
    </row>
    <row r="14" spans="1:10" x14ac:dyDescent="0.25">
      <c r="A14" s="4"/>
      <c r="B14" s="5" t="s">
        <v>24</v>
      </c>
      <c r="C14" s="5"/>
      <c r="D14" t="s">
        <v>14</v>
      </c>
      <c r="F14" s="11"/>
      <c r="G14" s="11"/>
      <c r="H14" s="12">
        <v>1E-4</v>
      </c>
    </row>
    <row r="15" spans="1:10" x14ac:dyDescent="0.25">
      <c r="B15" s="15"/>
      <c r="H15" s="16"/>
    </row>
    <row r="16" spans="1:10" x14ac:dyDescent="0.25">
      <c r="B16" s="15"/>
      <c r="H16" s="16"/>
    </row>
  </sheetData>
  <conditionalFormatting sqref="A4">
    <cfRule type="cellIs" dxfId="101" priority="2" operator="equal">
      <formula>"class"</formula>
    </cfRule>
  </conditionalFormatting>
  <conditionalFormatting sqref="A15:A16">
    <cfRule type="cellIs" dxfId="100" priority="4" operator="equal">
      <formula>"class"</formula>
    </cfRule>
  </conditionalFormatting>
  <conditionalFormatting sqref="A5:B14">
    <cfRule type="cellIs" dxfId="99" priority="1" operator="equal">
      <formula>"class"</formula>
    </cfRule>
  </conditionalFormatting>
  <conditionalFormatting sqref="B6:B7">
    <cfRule type="cellIs" dxfId="98" priority="6" operator="equal">
      <formula>"class"</formula>
    </cfRule>
  </conditionalFormatting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5CE6CA-7B35-4DDF-8A8D-1767B9BA5174}">
  <sheetPr>
    <tabColor theme="8" tint="-0.249977111117893"/>
  </sheetPr>
  <dimension ref="A1:J16"/>
  <sheetViews>
    <sheetView workbookViewId="0">
      <pane xSplit="3" ySplit="1" topLeftCell="D2" activePane="bottomRight" state="frozen"/>
      <selection activeCell="E6" sqref="E6:E9"/>
      <selection pane="topRight" activeCell="E6" sqref="E6:E9"/>
      <selection pane="bottomLeft" activeCell="E6" sqref="E6:E9"/>
      <selection pane="bottomRight" activeCell="H9" sqref="H9"/>
    </sheetView>
  </sheetViews>
  <sheetFormatPr defaultRowHeight="15" x14ac:dyDescent="0.25"/>
  <cols>
    <col min="1" max="1" width="14.42578125" style="15" customWidth="1"/>
    <col min="2" max="2" width="12.7109375" customWidth="1"/>
    <col min="3" max="3" width="15.7109375" customWidth="1"/>
    <col min="4" max="4" width="11.140625" customWidth="1"/>
    <col min="5" max="5" width="10.140625" bestFit="1" customWidth="1"/>
    <col min="6" max="8" width="10" customWidth="1"/>
    <col min="9" max="9" width="6.7109375" customWidth="1"/>
    <col min="10" max="10" width="38.5703125" bestFit="1" customWidth="1"/>
    <col min="11" max="15" width="6.7109375" customWidth="1"/>
  </cols>
  <sheetData>
    <row r="1" spans="1:10" x14ac:dyDescent="0.25">
      <c r="A1" s="1"/>
      <c r="B1" s="2"/>
      <c r="C1" s="3"/>
      <c r="D1" s="2" t="s">
        <v>0</v>
      </c>
      <c r="E1" s="2" t="s">
        <v>1</v>
      </c>
      <c r="F1" s="2" t="s">
        <v>2</v>
      </c>
      <c r="G1" s="2" t="s">
        <v>3</v>
      </c>
      <c r="H1" s="2" t="s">
        <v>4</v>
      </c>
    </row>
    <row r="2" spans="1:10" x14ac:dyDescent="0.25">
      <c r="A2" s="4" t="s">
        <v>5</v>
      </c>
      <c r="B2" s="5"/>
      <c r="C2" s="5"/>
      <c r="E2" s="6"/>
      <c r="F2" s="6"/>
      <c r="G2" s="6"/>
      <c r="H2" s="7" t="s">
        <v>6</v>
      </c>
    </row>
    <row r="3" spans="1:10" x14ac:dyDescent="0.25">
      <c r="A3" s="4" t="s">
        <v>7</v>
      </c>
      <c r="B3" s="5"/>
      <c r="C3" s="5"/>
      <c r="F3" s="6"/>
      <c r="G3" s="6"/>
      <c r="H3" s="7" t="s">
        <v>46</v>
      </c>
    </row>
    <row r="4" spans="1:10" x14ac:dyDescent="0.25">
      <c r="A4" s="8" t="s">
        <v>8</v>
      </c>
      <c r="B4" s="9"/>
      <c r="C4" s="9"/>
      <c r="D4" s="9"/>
      <c r="E4" s="9"/>
      <c r="F4" s="9"/>
      <c r="G4" s="9"/>
      <c r="H4" s="10" t="s">
        <v>9</v>
      </c>
    </row>
    <row r="5" spans="1:10" x14ac:dyDescent="0.25">
      <c r="A5" s="4" t="s">
        <v>10</v>
      </c>
      <c r="B5" s="5" t="s">
        <v>11</v>
      </c>
      <c r="C5" s="5"/>
      <c r="D5" t="s">
        <v>12</v>
      </c>
      <c r="F5" s="11"/>
      <c r="G5" s="11"/>
      <c r="H5" s="12">
        <v>5000</v>
      </c>
    </row>
    <row r="6" spans="1:10" x14ac:dyDescent="0.25">
      <c r="A6" s="4"/>
      <c r="B6" s="13" t="s">
        <v>13</v>
      </c>
      <c r="C6" s="5"/>
      <c r="D6" t="s">
        <v>14</v>
      </c>
      <c r="E6" t="s">
        <v>43</v>
      </c>
      <c r="F6" s="19">
        <v>-2.5999999999999999E-3</v>
      </c>
      <c r="G6" s="17">
        <v>0.79</v>
      </c>
      <c r="H6" s="17">
        <v>0.81</v>
      </c>
      <c r="J6" s="13" t="s">
        <v>43</v>
      </c>
    </row>
    <row r="7" spans="1:10" x14ac:dyDescent="0.25">
      <c r="A7" s="4"/>
      <c r="B7" s="13" t="s">
        <v>15</v>
      </c>
      <c r="C7" s="5"/>
      <c r="D7" t="s">
        <v>14</v>
      </c>
      <c r="E7" t="s">
        <v>43</v>
      </c>
      <c r="F7" s="19">
        <v>-2.5999999999999999E-3</v>
      </c>
      <c r="G7" s="17">
        <v>0.85</v>
      </c>
      <c r="H7" s="17">
        <v>0.45</v>
      </c>
      <c r="J7" s="13" t="s">
        <v>43</v>
      </c>
    </row>
    <row r="8" spans="1:10" x14ac:dyDescent="0.25">
      <c r="A8" s="4" t="s">
        <v>16</v>
      </c>
      <c r="B8" s="14" t="s">
        <v>17</v>
      </c>
      <c r="C8" s="5"/>
      <c r="D8" t="s">
        <v>14</v>
      </c>
      <c r="E8" t="s">
        <v>43</v>
      </c>
      <c r="F8" s="11"/>
      <c r="G8" s="11"/>
      <c r="H8" s="18">
        <v>7.4999999999999997E-2</v>
      </c>
      <c r="J8" s="14" t="s">
        <v>43</v>
      </c>
    </row>
    <row r="9" spans="1:10" x14ac:dyDescent="0.25">
      <c r="A9" s="4"/>
      <c r="B9" s="14" t="s">
        <v>18</v>
      </c>
      <c r="C9" s="5"/>
      <c r="D9" t="s">
        <v>14</v>
      </c>
      <c r="E9" t="s">
        <v>43</v>
      </c>
      <c r="F9" s="11"/>
      <c r="G9" s="11"/>
      <c r="H9" s="18">
        <v>-2.5000000000000001E-2</v>
      </c>
      <c r="J9" s="14" t="s">
        <v>43</v>
      </c>
    </row>
    <row r="10" spans="1:10" x14ac:dyDescent="0.25">
      <c r="A10" s="4"/>
      <c r="B10" s="5" t="s">
        <v>19</v>
      </c>
      <c r="C10" s="5"/>
      <c r="D10" t="s">
        <v>20</v>
      </c>
      <c r="F10" s="11"/>
      <c r="G10" s="11"/>
      <c r="H10" s="12">
        <v>1000000</v>
      </c>
    </row>
    <row r="11" spans="1:10" x14ac:dyDescent="0.25">
      <c r="A11" s="4"/>
      <c r="B11" s="5" t="s">
        <v>21</v>
      </c>
      <c r="C11" s="5"/>
      <c r="D11" t="s">
        <v>20</v>
      </c>
      <c r="F11" s="11"/>
      <c r="G11" s="11"/>
      <c r="H11" s="12">
        <v>1000000</v>
      </c>
    </row>
    <row r="12" spans="1:10" x14ac:dyDescent="0.25">
      <c r="A12" s="4"/>
      <c r="B12" s="5" t="s">
        <v>22</v>
      </c>
      <c r="C12" s="5"/>
      <c r="D12" t="s">
        <v>20</v>
      </c>
      <c r="F12" s="11"/>
      <c r="G12" s="11"/>
      <c r="H12" s="12">
        <v>150</v>
      </c>
    </row>
    <row r="13" spans="1:10" x14ac:dyDescent="0.25">
      <c r="A13" s="4"/>
      <c r="B13" s="5" t="s">
        <v>23</v>
      </c>
      <c r="C13" s="5"/>
      <c r="D13" t="s">
        <v>20</v>
      </c>
      <c r="F13" s="11"/>
      <c r="G13" s="11"/>
      <c r="H13" s="12">
        <v>150</v>
      </c>
    </row>
    <row r="14" spans="1:10" x14ac:dyDescent="0.25">
      <c r="A14" s="4"/>
      <c r="B14" s="5" t="s">
        <v>24</v>
      </c>
      <c r="C14" s="5"/>
      <c r="D14" t="s">
        <v>14</v>
      </c>
      <c r="F14" s="11"/>
      <c r="G14" s="11"/>
      <c r="H14" s="12">
        <v>1E-4</v>
      </c>
    </row>
    <row r="15" spans="1:10" x14ac:dyDescent="0.25">
      <c r="B15" s="15"/>
      <c r="H15" s="16"/>
    </row>
    <row r="16" spans="1:10" x14ac:dyDescent="0.25">
      <c r="B16" s="15"/>
      <c r="H16" s="16"/>
    </row>
  </sheetData>
  <conditionalFormatting sqref="A4">
    <cfRule type="cellIs" dxfId="97" priority="2" operator="equal">
      <formula>"class"</formula>
    </cfRule>
  </conditionalFormatting>
  <conditionalFormatting sqref="A15:A16">
    <cfRule type="cellIs" dxfId="96" priority="3" operator="equal">
      <formula>"class"</formula>
    </cfRule>
  </conditionalFormatting>
  <conditionalFormatting sqref="A5:B14">
    <cfRule type="cellIs" dxfId="95" priority="4" operator="equal">
      <formula>"class"</formula>
    </cfRule>
  </conditionalFormatting>
  <conditionalFormatting sqref="B6:B7">
    <cfRule type="cellIs" dxfId="94" priority="1" operator="equal">
      <formula>"class"</formula>
    </cfRule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18EA6D-F38F-4F6A-8555-8079C156825A}">
  <sheetPr>
    <tabColor theme="8" tint="-0.249977111117893"/>
  </sheetPr>
  <dimension ref="A1:J16"/>
  <sheetViews>
    <sheetView workbookViewId="0">
      <pane xSplit="3" ySplit="1" topLeftCell="D2" activePane="bottomRight" state="frozen"/>
      <selection activeCell="E6" sqref="E6:E9"/>
      <selection pane="topRight" activeCell="E6" sqref="E6:E9"/>
      <selection pane="bottomLeft" activeCell="E6" sqref="E6:E9"/>
      <selection pane="bottomRight" activeCell="E6" sqref="E6:E9"/>
    </sheetView>
  </sheetViews>
  <sheetFormatPr defaultRowHeight="15" x14ac:dyDescent="0.25"/>
  <cols>
    <col min="1" max="1" width="14.42578125" style="15" customWidth="1"/>
    <col min="2" max="2" width="12.7109375" customWidth="1"/>
    <col min="3" max="3" width="15.7109375" customWidth="1"/>
    <col min="4" max="4" width="11.140625" customWidth="1"/>
    <col min="5" max="5" width="10.140625" bestFit="1" customWidth="1"/>
    <col min="6" max="8" width="10" customWidth="1"/>
    <col min="9" max="9" width="6.7109375" customWidth="1"/>
    <col min="10" max="10" width="38.5703125" bestFit="1" customWidth="1"/>
    <col min="11" max="15" width="6.7109375" customWidth="1"/>
  </cols>
  <sheetData>
    <row r="1" spans="1:10" x14ac:dyDescent="0.25">
      <c r="A1" s="1"/>
      <c r="B1" s="2"/>
      <c r="C1" s="3"/>
      <c r="D1" s="2" t="s">
        <v>0</v>
      </c>
      <c r="E1" s="2" t="s">
        <v>1</v>
      </c>
      <c r="F1" s="2" t="s">
        <v>2</v>
      </c>
      <c r="G1" s="2" t="s">
        <v>3</v>
      </c>
      <c r="H1" s="2" t="s">
        <v>4</v>
      </c>
    </row>
    <row r="2" spans="1:10" x14ac:dyDescent="0.25">
      <c r="A2" s="4" t="s">
        <v>5</v>
      </c>
      <c r="B2" s="5"/>
      <c r="C2" s="5"/>
      <c r="E2" s="6"/>
      <c r="F2" s="6"/>
      <c r="G2" s="6"/>
      <c r="H2" s="7" t="s">
        <v>6</v>
      </c>
    </row>
    <row r="3" spans="1:10" x14ac:dyDescent="0.25">
      <c r="A3" s="4" t="s">
        <v>7</v>
      </c>
      <c r="B3" s="5"/>
      <c r="C3" s="5"/>
      <c r="F3" s="6"/>
      <c r="G3" s="6"/>
      <c r="H3" s="7" t="s">
        <v>28</v>
      </c>
    </row>
    <row r="4" spans="1:10" x14ac:dyDescent="0.25">
      <c r="A4" s="8" t="s">
        <v>8</v>
      </c>
      <c r="B4" s="9"/>
      <c r="C4" s="9"/>
      <c r="D4" s="9"/>
      <c r="E4" s="9"/>
      <c r="F4" s="9"/>
      <c r="G4" s="9"/>
      <c r="H4" s="10" t="s">
        <v>9</v>
      </c>
    </row>
    <row r="5" spans="1:10" x14ac:dyDescent="0.25">
      <c r="A5" s="4" t="s">
        <v>10</v>
      </c>
      <c r="B5" s="5" t="s">
        <v>11</v>
      </c>
      <c r="C5" s="5"/>
      <c r="D5" t="s">
        <v>12</v>
      </c>
      <c r="F5" s="11"/>
      <c r="G5" s="11"/>
      <c r="H5" s="12">
        <v>10000</v>
      </c>
    </row>
    <row r="6" spans="1:10" x14ac:dyDescent="0.25">
      <c r="A6" s="4"/>
      <c r="B6" s="13" t="s">
        <v>13</v>
      </c>
      <c r="C6" s="5"/>
      <c r="D6" t="s">
        <v>14</v>
      </c>
      <c r="E6" t="s">
        <v>43</v>
      </c>
      <c r="F6" s="19">
        <v>-2.6557142857142869E-3</v>
      </c>
      <c r="G6" s="17">
        <v>0.62</v>
      </c>
      <c r="H6" s="17">
        <v>0.65</v>
      </c>
      <c r="J6" s="13" t="s">
        <v>43</v>
      </c>
    </row>
    <row r="7" spans="1:10" x14ac:dyDescent="0.25">
      <c r="A7" s="4"/>
      <c r="B7" s="13" t="s">
        <v>15</v>
      </c>
      <c r="C7" s="5"/>
      <c r="D7" t="s">
        <v>14</v>
      </c>
      <c r="E7" t="s">
        <v>43</v>
      </c>
      <c r="F7" s="19">
        <v>5.5166428571428582E-2</v>
      </c>
      <c r="G7" s="17">
        <v>0.85</v>
      </c>
      <c r="H7" s="17">
        <v>0.19</v>
      </c>
      <c r="J7" s="13" t="s">
        <v>43</v>
      </c>
    </row>
    <row r="8" spans="1:10" x14ac:dyDescent="0.25">
      <c r="A8" s="4" t="s">
        <v>16</v>
      </c>
      <c r="B8" s="14" t="s">
        <v>17</v>
      </c>
      <c r="C8" s="5"/>
      <c r="D8" t="s">
        <v>14</v>
      </c>
      <c r="E8" t="s">
        <v>43</v>
      </c>
      <c r="F8" s="11"/>
      <c r="G8" s="11"/>
      <c r="H8" s="18">
        <v>0.1</v>
      </c>
      <c r="J8" s="14" t="s">
        <v>43</v>
      </c>
    </row>
    <row r="9" spans="1:10" x14ac:dyDescent="0.25">
      <c r="A9" s="4"/>
      <c r="B9" s="14" t="s">
        <v>18</v>
      </c>
      <c r="C9" s="5"/>
      <c r="D9" t="s">
        <v>14</v>
      </c>
      <c r="E9" t="s">
        <v>43</v>
      </c>
      <c r="F9" s="11"/>
      <c r="G9" s="11"/>
      <c r="H9" s="18">
        <v>-0.15</v>
      </c>
      <c r="J9" s="14" t="s">
        <v>43</v>
      </c>
    </row>
    <row r="10" spans="1:10" x14ac:dyDescent="0.25">
      <c r="A10" s="4"/>
      <c r="B10" s="5" t="s">
        <v>19</v>
      </c>
      <c r="C10" s="5"/>
      <c r="D10" t="s">
        <v>20</v>
      </c>
      <c r="F10" s="11"/>
      <c r="G10" s="11"/>
      <c r="H10" s="12">
        <v>1000000</v>
      </c>
    </row>
    <row r="11" spans="1:10" x14ac:dyDescent="0.25">
      <c r="A11" s="4"/>
      <c r="B11" s="5" t="s">
        <v>21</v>
      </c>
      <c r="C11" s="5"/>
      <c r="D11" t="s">
        <v>20</v>
      </c>
      <c r="F11" s="11"/>
      <c r="G11" s="11"/>
      <c r="H11" s="12">
        <v>1000000</v>
      </c>
    </row>
    <row r="12" spans="1:10" x14ac:dyDescent="0.25">
      <c r="A12" s="4"/>
      <c r="B12" s="5" t="s">
        <v>22</v>
      </c>
      <c r="C12" s="5"/>
      <c r="D12" t="s">
        <v>20</v>
      </c>
      <c r="F12" s="11"/>
      <c r="G12" s="11"/>
      <c r="H12" s="12">
        <v>150</v>
      </c>
    </row>
    <row r="13" spans="1:10" x14ac:dyDescent="0.25">
      <c r="A13" s="4"/>
      <c r="B13" s="5" t="s">
        <v>23</v>
      </c>
      <c r="C13" s="5"/>
      <c r="D13" t="s">
        <v>20</v>
      </c>
      <c r="F13" s="11"/>
      <c r="G13" s="11"/>
      <c r="H13" s="12">
        <v>150</v>
      </c>
    </row>
    <row r="14" spans="1:10" x14ac:dyDescent="0.25">
      <c r="A14" s="4"/>
      <c r="B14" s="5" t="s">
        <v>24</v>
      </c>
      <c r="C14" s="5"/>
      <c r="D14" t="s">
        <v>14</v>
      </c>
      <c r="F14" s="11"/>
      <c r="G14" s="11"/>
      <c r="H14" s="12">
        <v>1E-4</v>
      </c>
    </row>
    <row r="15" spans="1:10" x14ac:dyDescent="0.25">
      <c r="B15" s="15"/>
      <c r="H15" s="16"/>
    </row>
    <row r="16" spans="1:10" x14ac:dyDescent="0.25">
      <c r="B16" s="15"/>
      <c r="H16" s="16"/>
    </row>
  </sheetData>
  <conditionalFormatting sqref="A4">
    <cfRule type="cellIs" dxfId="93" priority="2" operator="equal">
      <formula>"class"</formula>
    </cfRule>
  </conditionalFormatting>
  <conditionalFormatting sqref="A15:A16">
    <cfRule type="cellIs" dxfId="92" priority="3" operator="equal">
      <formula>"class"</formula>
    </cfRule>
  </conditionalFormatting>
  <conditionalFormatting sqref="A5:B14">
    <cfRule type="cellIs" dxfId="91" priority="5" operator="equal">
      <formula>"class"</formula>
    </cfRule>
  </conditionalFormatting>
  <conditionalFormatting sqref="B6:B7">
    <cfRule type="cellIs" dxfId="90" priority="1" operator="equal">
      <formula>"class"</formula>
    </cfRule>
  </conditionalFormatting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B4774B-79F0-4893-845A-6869033BAC75}">
  <sheetPr>
    <tabColor theme="8" tint="-0.249977111117893"/>
  </sheetPr>
  <dimension ref="A1:J16"/>
  <sheetViews>
    <sheetView workbookViewId="0">
      <pane xSplit="3" ySplit="1" topLeftCell="D2" activePane="bottomRight" state="frozen"/>
      <selection activeCell="E6" sqref="E6:E9"/>
      <selection pane="topRight" activeCell="E6" sqref="E6:E9"/>
      <selection pane="bottomLeft" activeCell="E6" sqref="E6:E9"/>
      <selection pane="bottomRight" activeCell="E6" sqref="E6:E9"/>
    </sheetView>
  </sheetViews>
  <sheetFormatPr defaultRowHeight="15" x14ac:dyDescent="0.25"/>
  <cols>
    <col min="1" max="1" width="14.42578125" style="15" customWidth="1"/>
    <col min="2" max="2" width="12.7109375" customWidth="1"/>
    <col min="3" max="3" width="15.7109375" customWidth="1"/>
    <col min="4" max="4" width="11.140625" customWidth="1"/>
    <col min="5" max="5" width="10.140625" bestFit="1" customWidth="1"/>
    <col min="6" max="8" width="10" customWidth="1"/>
    <col min="9" max="9" width="6.7109375" customWidth="1"/>
    <col min="10" max="10" width="38.5703125" bestFit="1" customWidth="1"/>
    <col min="11" max="15" width="6.7109375" customWidth="1"/>
  </cols>
  <sheetData>
    <row r="1" spans="1:10" x14ac:dyDescent="0.25">
      <c r="A1" s="1"/>
      <c r="B1" s="2"/>
      <c r="C1" s="3"/>
      <c r="D1" s="2" t="s">
        <v>0</v>
      </c>
      <c r="E1" s="2" t="s">
        <v>1</v>
      </c>
      <c r="F1" s="2" t="s">
        <v>2</v>
      </c>
      <c r="G1" s="2" t="s">
        <v>3</v>
      </c>
      <c r="H1" s="2" t="s">
        <v>4</v>
      </c>
    </row>
    <row r="2" spans="1:10" x14ac:dyDescent="0.25">
      <c r="A2" s="4" t="s">
        <v>5</v>
      </c>
      <c r="B2" s="5"/>
      <c r="C2" s="5"/>
      <c r="E2" s="6"/>
      <c r="F2" s="6"/>
      <c r="G2" s="6"/>
      <c r="H2" s="7" t="s">
        <v>6</v>
      </c>
    </row>
    <row r="3" spans="1:10" x14ac:dyDescent="0.25">
      <c r="A3" s="4" t="s">
        <v>7</v>
      </c>
      <c r="B3" s="5"/>
      <c r="C3" s="5"/>
      <c r="F3" s="6"/>
      <c r="G3" s="6"/>
      <c r="H3" s="7" t="s">
        <v>29</v>
      </c>
    </row>
    <row r="4" spans="1:10" x14ac:dyDescent="0.25">
      <c r="A4" s="4" t="s">
        <v>8</v>
      </c>
      <c r="B4" s="9"/>
      <c r="C4" s="9"/>
      <c r="D4" s="9"/>
      <c r="E4" s="9"/>
      <c r="F4" s="9"/>
      <c r="G4" s="9"/>
      <c r="H4" s="10" t="s">
        <v>9</v>
      </c>
    </row>
    <row r="5" spans="1:10" x14ac:dyDescent="0.25">
      <c r="A5" s="4" t="s">
        <v>10</v>
      </c>
      <c r="B5" s="5" t="s">
        <v>11</v>
      </c>
      <c r="C5" s="5"/>
      <c r="D5" t="s">
        <v>12</v>
      </c>
      <c r="F5" s="11"/>
      <c r="G5" s="11"/>
      <c r="H5" s="12">
        <v>10000</v>
      </c>
    </row>
    <row r="6" spans="1:10" x14ac:dyDescent="0.25">
      <c r="A6" s="4"/>
      <c r="B6" s="13" t="s">
        <v>13</v>
      </c>
      <c r="C6" s="5"/>
      <c r="D6" t="s">
        <v>14</v>
      </c>
      <c r="E6" t="s">
        <v>43</v>
      </c>
      <c r="F6" s="17">
        <v>2.6557142857142869E-3</v>
      </c>
      <c r="G6" s="17">
        <v>0.62</v>
      </c>
      <c r="H6" s="17">
        <v>0.65</v>
      </c>
      <c r="J6" s="13" t="s">
        <v>43</v>
      </c>
    </row>
    <row r="7" spans="1:10" x14ac:dyDescent="0.25">
      <c r="A7" s="4"/>
      <c r="B7" s="13" t="s">
        <v>15</v>
      </c>
      <c r="C7" s="5"/>
      <c r="D7" t="s">
        <v>14</v>
      </c>
      <c r="E7" t="s">
        <v>43</v>
      </c>
      <c r="F7" s="17">
        <v>-5.5166428571428582E-2</v>
      </c>
      <c r="G7" s="17">
        <v>0.85</v>
      </c>
      <c r="H7" s="17">
        <v>0.19</v>
      </c>
      <c r="J7" s="13" t="s">
        <v>43</v>
      </c>
    </row>
    <row r="8" spans="1:10" x14ac:dyDescent="0.25">
      <c r="A8" s="4" t="s">
        <v>16</v>
      </c>
      <c r="B8" s="14" t="s">
        <v>17</v>
      </c>
      <c r="C8" s="5"/>
      <c r="D8" t="s">
        <v>14</v>
      </c>
      <c r="E8" t="s">
        <v>43</v>
      </c>
      <c r="F8" s="11"/>
      <c r="G8" s="11"/>
      <c r="H8" s="18">
        <v>0.1</v>
      </c>
      <c r="J8" s="14" t="s">
        <v>43</v>
      </c>
    </row>
    <row r="9" spans="1:10" x14ac:dyDescent="0.25">
      <c r="A9" s="4"/>
      <c r="B9" s="14" t="s">
        <v>18</v>
      </c>
      <c r="C9" s="5"/>
      <c r="D9" t="s">
        <v>14</v>
      </c>
      <c r="E9" t="s">
        <v>43</v>
      </c>
      <c r="F9" s="11"/>
      <c r="G9" s="11"/>
      <c r="H9" s="18">
        <v>-0.15</v>
      </c>
      <c r="J9" s="14" t="s">
        <v>43</v>
      </c>
    </row>
    <row r="10" spans="1:10" x14ac:dyDescent="0.25">
      <c r="A10" s="4"/>
      <c r="B10" s="5" t="s">
        <v>19</v>
      </c>
      <c r="C10" s="5"/>
      <c r="D10" t="s">
        <v>20</v>
      </c>
      <c r="F10" s="11"/>
      <c r="G10" s="11"/>
      <c r="H10" s="12">
        <v>1000000</v>
      </c>
    </row>
    <row r="11" spans="1:10" x14ac:dyDescent="0.25">
      <c r="A11" s="4"/>
      <c r="B11" s="5" t="s">
        <v>21</v>
      </c>
      <c r="C11" s="5"/>
      <c r="D11" t="s">
        <v>20</v>
      </c>
      <c r="F11" s="11"/>
      <c r="G11" s="11"/>
      <c r="H11" s="12">
        <v>1000000</v>
      </c>
    </row>
    <row r="12" spans="1:10" x14ac:dyDescent="0.25">
      <c r="A12" s="4"/>
      <c r="B12" s="5" t="s">
        <v>22</v>
      </c>
      <c r="C12" s="5"/>
      <c r="D12" t="s">
        <v>20</v>
      </c>
      <c r="F12" s="11"/>
      <c r="G12" s="11"/>
      <c r="H12" s="12">
        <v>150</v>
      </c>
    </row>
    <row r="13" spans="1:10" x14ac:dyDescent="0.25">
      <c r="A13" s="4"/>
      <c r="B13" s="5" t="s">
        <v>23</v>
      </c>
      <c r="C13" s="5"/>
      <c r="D13" t="s">
        <v>20</v>
      </c>
      <c r="F13" s="11"/>
      <c r="G13" s="11"/>
      <c r="H13" s="12">
        <v>150</v>
      </c>
    </row>
    <row r="14" spans="1:10" x14ac:dyDescent="0.25">
      <c r="A14" s="4"/>
      <c r="B14" s="5" t="s">
        <v>24</v>
      </c>
      <c r="C14" s="5"/>
      <c r="D14" t="s">
        <v>14</v>
      </c>
      <c r="F14" s="11"/>
      <c r="G14" s="11"/>
      <c r="H14" s="12">
        <v>1E-4</v>
      </c>
    </row>
    <row r="15" spans="1:10" x14ac:dyDescent="0.25">
      <c r="B15" s="15"/>
      <c r="H15" s="16"/>
    </row>
    <row r="16" spans="1:10" x14ac:dyDescent="0.25">
      <c r="B16" s="15"/>
      <c r="H16" s="16"/>
    </row>
  </sheetData>
  <conditionalFormatting sqref="A4">
    <cfRule type="cellIs" dxfId="89" priority="2" operator="equal">
      <formula>"class"</formula>
    </cfRule>
  </conditionalFormatting>
  <conditionalFormatting sqref="A15:A16">
    <cfRule type="cellIs" dxfId="88" priority="4" operator="equal">
      <formula>"class"</formula>
    </cfRule>
  </conditionalFormatting>
  <conditionalFormatting sqref="A5:B14">
    <cfRule type="cellIs" dxfId="87" priority="1" operator="equal">
      <formula>"class"</formula>
    </cfRule>
  </conditionalFormatting>
  <conditionalFormatting sqref="B6:B7">
    <cfRule type="cellIs" dxfId="86" priority="6" operator="equal">
      <formula>"class"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DE7E6E-4C66-4C6D-BB1A-834603CD07F8}">
  <sheetPr>
    <tabColor theme="8" tint="-0.249977111117893"/>
  </sheetPr>
  <dimension ref="A1:O16"/>
  <sheetViews>
    <sheetView workbookViewId="0">
      <pane xSplit="3" ySplit="1" topLeftCell="D2" activePane="bottomRight" state="frozen"/>
      <selection activeCell="E6" sqref="E6:E9"/>
      <selection pane="topRight" activeCell="E6" sqref="E6:E9"/>
      <selection pane="bottomLeft" activeCell="E6" sqref="E6:E9"/>
      <selection pane="bottomRight" activeCell="O25" sqref="O25"/>
    </sheetView>
  </sheetViews>
  <sheetFormatPr defaultRowHeight="15" x14ac:dyDescent="0.25"/>
  <cols>
    <col min="1" max="1" width="14.42578125" style="15" customWidth="1"/>
    <col min="2" max="2" width="12.7109375" customWidth="1"/>
    <col min="3" max="3" width="15.7109375" customWidth="1"/>
    <col min="4" max="4" width="11.140625" customWidth="1"/>
    <col min="5" max="5" width="10.140625" bestFit="1" customWidth="1"/>
    <col min="6" max="8" width="10" customWidth="1"/>
    <col min="9" max="9" width="6.7109375" customWidth="1"/>
    <col min="10" max="10" width="38.5703125" bestFit="1" customWidth="1"/>
    <col min="11" max="15" width="6.7109375" customWidth="1"/>
  </cols>
  <sheetData>
    <row r="1" spans="1:15" x14ac:dyDescent="0.25">
      <c r="A1" s="1"/>
      <c r="B1" s="2"/>
      <c r="C1" s="3"/>
      <c r="D1" s="2" t="s">
        <v>0</v>
      </c>
      <c r="E1" s="2" t="s">
        <v>1</v>
      </c>
      <c r="F1" s="2" t="s">
        <v>2</v>
      </c>
      <c r="G1" s="2" t="s">
        <v>3</v>
      </c>
      <c r="H1" s="2" t="s">
        <v>4</v>
      </c>
    </row>
    <row r="2" spans="1:15" x14ac:dyDescent="0.25">
      <c r="A2" s="4" t="s">
        <v>5</v>
      </c>
      <c r="B2" s="5"/>
      <c r="C2" s="5"/>
      <c r="E2" s="6"/>
      <c r="F2" s="6"/>
      <c r="G2" s="6"/>
      <c r="H2" s="7" t="s">
        <v>6</v>
      </c>
    </row>
    <row r="3" spans="1:15" x14ac:dyDescent="0.25">
      <c r="A3" s="4" t="s">
        <v>7</v>
      </c>
      <c r="B3" s="5"/>
      <c r="C3" s="5"/>
      <c r="F3" s="6"/>
      <c r="G3" s="6"/>
      <c r="H3" s="7" t="s">
        <v>30</v>
      </c>
    </row>
    <row r="4" spans="1:15" x14ac:dyDescent="0.25">
      <c r="A4" s="8" t="s">
        <v>8</v>
      </c>
      <c r="B4" s="9"/>
      <c r="C4" s="9"/>
      <c r="D4" s="9"/>
      <c r="E4" s="9"/>
      <c r="F4" s="9"/>
      <c r="G4" s="9"/>
      <c r="H4" s="10" t="s">
        <v>9</v>
      </c>
    </row>
    <row r="5" spans="1:15" x14ac:dyDescent="0.25">
      <c r="A5" s="4" t="s">
        <v>10</v>
      </c>
      <c r="B5" s="5" t="s">
        <v>11</v>
      </c>
      <c r="C5" s="5"/>
      <c r="D5" t="s">
        <v>12</v>
      </c>
      <c r="F5" s="11"/>
      <c r="G5" s="11"/>
      <c r="H5" s="12">
        <v>5500</v>
      </c>
    </row>
    <row r="6" spans="1:15" x14ac:dyDescent="0.25">
      <c r="A6" s="4"/>
      <c r="B6" s="13" t="s">
        <v>13</v>
      </c>
      <c r="C6" s="5"/>
      <c r="D6" t="s">
        <v>14</v>
      </c>
      <c r="E6" t="s">
        <v>43</v>
      </c>
      <c r="F6" s="19">
        <f>-0.000217+0.05</f>
        <v>4.9783000000000001E-2</v>
      </c>
      <c r="G6" s="19">
        <v>0.49198500000000001</v>
      </c>
      <c r="H6" s="19">
        <v>0.52585999999999999</v>
      </c>
      <c r="J6" s="13" t="s">
        <v>43</v>
      </c>
      <c r="M6" s="6"/>
      <c r="N6" s="6"/>
      <c r="O6" s="6"/>
    </row>
    <row r="7" spans="1:15" x14ac:dyDescent="0.25">
      <c r="A7" s="4"/>
      <c r="B7" s="13" t="s">
        <v>15</v>
      </c>
      <c r="C7" s="5"/>
      <c r="D7" t="s">
        <v>14</v>
      </c>
      <c r="E7" t="s">
        <v>43</v>
      </c>
      <c r="F7" s="19">
        <f>-0.000217+0.05</f>
        <v>4.9783000000000001E-2</v>
      </c>
      <c r="G7" s="19">
        <v>0.71599999999999997</v>
      </c>
      <c r="H7" s="19">
        <v>0.15</v>
      </c>
      <c r="J7" s="13" t="s">
        <v>43</v>
      </c>
      <c r="M7" s="6"/>
      <c r="N7" s="6"/>
      <c r="O7" s="6"/>
    </row>
    <row r="8" spans="1:15" x14ac:dyDescent="0.25">
      <c r="A8" s="4" t="s">
        <v>16</v>
      </c>
      <c r="B8" s="14" t="s">
        <v>17</v>
      </c>
      <c r="C8" s="5"/>
      <c r="D8" t="s">
        <v>14</v>
      </c>
      <c r="E8" t="s">
        <v>43</v>
      </c>
      <c r="F8" s="11"/>
      <c r="G8" s="11"/>
      <c r="H8" s="18">
        <v>0.1</v>
      </c>
      <c r="J8" s="14" t="s">
        <v>43</v>
      </c>
    </row>
    <row r="9" spans="1:15" x14ac:dyDescent="0.25">
      <c r="A9" s="4"/>
      <c r="B9" s="14" t="s">
        <v>18</v>
      </c>
      <c r="C9" s="5"/>
      <c r="D9" t="s">
        <v>14</v>
      </c>
      <c r="E9" t="s">
        <v>43</v>
      </c>
      <c r="F9" s="11"/>
      <c r="G9" s="11"/>
      <c r="H9" s="18">
        <v>-0.1</v>
      </c>
      <c r="J9" s="14" t="s">
        <v>43</v>
      </c>
    </row>
    <row r="10" spans="1:15" x14ac:dyDescent="0.25">
      <c r="A10" s="4"/>
      <c r="B10" s="5" t="s">
        <v>19</v>
      </c>
      <c r="C10" s="5"/>
      <c r="D10" t="s">
        <v>20</v>
      </c>
      <c r="F10" s="11"/>
      <c r="G10" s="11"/>
      <c r="H10" s="12">
        <v>1000000</v>
      </c>
    </row>
    <row r="11" spans="1:15" x14ac:dyDescent="0.25">
      <c r="A11" s="4"/>
      <c r="B11" s="5" t="s">
        <v>21</v>
      </c>
      <c r="C11" s="5"/>
      <c r="D11" t="s">
        <v>20</v>
      </c>
      <c r="F11" s="11"/>
      <c r="G11" s="11"/>
      <c r="H11" s="12">
        <v>1000000</v>
      </c>
    </row>
    <row r="12" spans="1:15" x14ac:dyDescent="0.25">
      <c r="A12" s="4"/>
      <c r="B12" s="5" t="s">
        <v>22</v>
      </c>
      <c r="C12" s="5"/>
      <c r="D12" t="s">
        <v>20</v>
      </c>
      <c r="F12" s="11"/>
      <c r="G12" s="11"/>
      <c r="H12" s="12">
        <v>150</v>
      </c>
    </row>
    <row r="13" spans="1:15" x14ac:dyDescent="0.25">
      <c r="A13" s="4"/>
      <c r="B13" s="5" t="s">
        <v>23</v>
      </c>
      <c r="C13" s="5"/>
      <c r="D13" t="s">
        <v>20</v>
      </c>
      <c r="F13" s="11"/>
      <c r="G13" s="11"/>
      <c r="H13" s="12">
        <v>150</v>
      </c>
    </row>
    <row r="14" spans="1:15" x14ac:dyDescent="0.25">
      <c r="A14" s="4"/>
      <c r="B14" s="5" t="s">
        <v>24</v>
      </c>
      <c r="C14" s="5"/>
      <c r="D14" t="s">
        <v>14</v>
      </c>
      <c r="F14" s="11"/>
      <c r="G14" s="11"/>
      <c r="H14" s="12">
        <v>1E-4</v>
      </c>
    </row>
    <row r="15" spans="1:15" x14ac:dyDescent="0.25">
      <c r="B15" s="15"/>
      <c r="H15" s="16"/>
    </row>
    <row r="16" spans="1:15" x14ac:dyDescent="0.25">
      <c r="B16" s="15"/>
      <c r="H16" s="16"/>
    </row>
  </sheetData>
  <conditionalFormatting sqref="A4">
    <cfRule type="cellIs" dxfId="85" priority="2" operator="equal">
      <formula>"class"</formula>
    </cfRule>
  </conditionalFormatting>
  <conditionalFormatting sqref="A15:A16">
    <cfRule type="cellIs" dxfId="84" priority="3" operator="equal">
      <formula>"class"</formula>
    </cfRule>
  </conditionalFormatting>
  <conditionalFormatting sqref="A5:B14">
    <cfRule type="cellIs" dxfId="83" priority="5" operator="equal">
      <formula>"class"</formula>
    </cfRule>
  </conditionalFormatting>
  <conditionalFormatting sqref="B6:B7">
    <cfRule type="cellIs" dxfId="82" priority="1" operator="equal">
      <formula>"class"</formula>
    </cfRule>
  </conditionalFormatting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B0F706-8EC8-48DD-9975-D1D6E768746A}">
  <sheetPr>
    <tabColor theme="8" tint="-0.249977111117893"/>
  </sheetPr>
  <dimension ref="A1:J16"/>
  <sheetViews>
    <sheetView workbookViewId="0">
      <pane xSplit="3" ySplit="1" topLeftCell="D2" activePane="bottomRight" state="frozen"/>
      <selection activeCell="E6" sqref="E6:E9"/>
      <selection pane="topRight" activeCell="E6" sqref="E6:E9"/>
      <selection pane="bottomLeft" activeCell="E6" sqref="E6:E9"/>
      <selection pane="bottomRight" activeCell="E6" sqref="E6:E9"/>
    </sheetView>
  </sheetViews>
  <sheetFormatPr defaultRowHeight="15" x14ac:dyDescent="0.25"/>
  <cols>
    <col min="1" max="1" width="14.42578125" style="15" customWidth="1"/>
    <col min="2" max="2" width="12.7109375" customWidth="1"/>
    <col min="3" max="3" width="15.7109375" customWidth="1"/>
    <col min="4" max="4" width="11.140625" customWidth="1"/>
    <col min="5" max="5" width="10.140625" bestFit="1" customWidth="1"/>
    <col min="6" max="8" width="10" customWidth="1"/>
    <col min="9" max="9" width="6.7109375" customWidth="1"/>
    <col min="10" max="10" width="38.5703125" bestFit="1" customWidth="1"/>
    <col min="11" max="15" width="6.7109375" customWidth="1"/>
  </cols>
  <sheetData>
    <row r="1" spans="1:10" x14ac:dyDescent="0.25">
      <c r="A1" s="1"/>
      <c r="B1" s="2"/>
      <c r="C1" s="3"/>
      <c r="D1" s="2" t="s">
        <v>0</v>
      </c>
      <c r="E1" s="2" t="s">
        <v>1</v>
      </c>
      <c r="F1" s="2" t="s">
        <v>2</v>
      </c>
      <c r="G1" s="2" t="s">
        <v>3</v>
      </c>
      <c r="H1" s="2" t="s">
        <v>4</v>
      </c>
    </row>
    <row r="2" spans="1:10" x14ac:dyDescent="0.25">
      <c r="A2" s="4" t="s">
        <v>5</v>
      </c>
      <c r="B2" s="5"/>
      <c r="C2" s="5"/>
      <c r="E2" s="6"/>
      <c r="F2" s="6"/>
      <c r="G2" s="6"/>
      <c r="H2" s="7" t="s">
        <v>6</v>
      </c>
    </row>
    <row r="3" spans="1:10" x14ac:dyDescent="0.25">
      <c r="A3" s="4" t="s">
        <v>7</v>
      </c>
      <c r="B3" s="5"/>
      <c r="C3" s="5"/>
      <c r="F3" s="6"/>
      <c r="G3" s="6"/>
      <c r="H3" s="7" t="s">
        <v>31</v>
      </c>
    </row>
    <row r="4" spans="1:10" x14ac:dyDescent="0.25">
      <c r="A4" s="4" t="s">
        <v>8</v>
      </c>
      <c r="B4" s="9"/>
      <c r="C4" s="9"/>
      <c r="D4" s="9"/>
      <c r="E4" s="9"/>
      <c r="F4" s="9"/>
      <c r="G4" s="9"/>
      <c r="H4" s="10" t="s">
        <v>9</v>
      </c>
    </row>
    <row r="5" spans="1:10" x14ac:dyDescent="0.25">
      <c r="A5" s="4" t="s">
        <v>10</v>
      </c>
      <c r="B5" s="5" t="s">
        <v>11</v>
      </c>
      <c r="C5" s="5"/>
      <c r="D5" t="s">
        <v>12</v>
      </c>
      <c r="F5" s="11"/>
      <c r="G5" s="11"/>
      <c r="H5" s="12">
        <v>5500</v>
      </c>
    </row>
    <row r="6" spans="1:10" x14ac:dyDescent="0.25">
      <c r="A6" s="4"/>
      <c r="B6" s="13" t="s">
        <v>13</v>
      </c>
      <c r="C6" s="5"/>
      <c r="D6" t="s">
        <v>14</v>
      </c>
      <c r="E6" t="s">
        <v>43</v>
      </c>
      <c r="F6" s="17">
        <f>-0.01387-0.04</f>
        <v>-5.3870000000000001E-2</v>
      </c>
      <c r="G6" s="17">
        <v>0.49195</v>
      </c>
      <c r="H6" s="17">
        <v>0.52285999999999999</v>
      </c>
      <c r="J6" s="13" t="s">
        <v>43</v>
      </c>
    </row>
    <row r="7" spans="1:10" x14ac:dyDescent="0.25">
      <c r="A7" s="4"/>
      <c r="B7" s="13" t="s">
        <v>15</v>
      </c>
      <c r="C7" s="5"/>
      <c r="D7" t="s">
        <v>14</v>
      </c>
      <c r="E7" t="s">
        <v>43</v>
      </c>
      <c r="F7" s="17">
        <f>-0.013587-0.04</f>
        <v>-5.3587000000000003E-2</v>
      </c>
      <c r="G7" s="17">
        <v>0.71599999999999997</v>
      </c>
      <c r="H7" s="17">
        <v>0.15</v>
      </c>
      <c r="J7" s="13" t="s">
        <v>43</v>
      </c>
    </row>
    <row r="8" spans="1:10" x14ac:dyDescent="0.25">
      <c r="A8" s="4" t="s">
        <v>16</v>
      </c>
      <c r="B8" s="14" t="s">
        <v>17</v>
      </c>
      <c r="C8" s="5"/>
      <c r="D8" t="s">
        <v>14</v>
      </c>
      <c r="E8" t="s">
        <v>43</v>
      </c>
      <c r="F8" s="11"/>
      <c r="G8" s="11"/>
      <c r="H8" s="18">
        <v>0.1</v>
      </c>
      <c r="J8" s="14" t="s">
        <v>43</v>
      </c>
    </row>
    <row r="9" spans="1:10" x14ac:dyDescent="0.25">
      <c r="A9" s="4"/>
      <c r="B9" s="14" t="s">
        <v>18</v>
      </c>
      <c r="C9" s="5"/>
      <c r="D9" t="s">
        <v>14</v>
      </c>
      <c r="E9" t="s">
        <v>43</v>
      </c>
      <c r="F9" s="11"/>
      <c r="G9" s="11"/>
      <c r="H9" s="18">
        <v>-0.1</v>
      </c>
      <c r="J9" s="14" t="s">
        <v>43</v>
      </c>
    </row>
    <row r="10" spans="1:10" x14ac:dyDescent="0.25">
      <c r="A10" s="4"/>
      <c r="B10" s="5" t="s">
        <v>19</v>
      </c>
      <c r="C10" s="5"/>
      <c r="D10" t="s">
        <v>20</v>
      </c>
      <c r="F10" s="11"/>
      <c r="G10" s="11"/>
      <c r="H10" s="12">
        <v>1000000</v>
      </c>
    </row>
    <row r="11" spans="1:10" x14ac:dyDescent="0.25">
      <c r="A11" s="4"/>
      <c r="B11" s="5" t="s">
        <v>21</v>
      </c>
      <c r="C11" s="5"/>
      <c r="D11" t="s">
        <v>20</v>
      </c>
      <c r="F11" s="11"/>
      <c r="G11" s="11"/>
      <c r="H11" s="12">
        <v>1000000</v>
      </c>
    </row>
    <row r="12" spans="1:10" x14ac:dyDescent="0.25">
      <c r="A12" s="4"/>
      <c r="B12" s="5" t="s">
        <v>22</v>
      </c>
      <c r="C12" s="5"/>
      <c r="D12" t="s">
        <v>20</v>
      </c>
      <c r="F12" s="11"/>
      <c r="G12" s="11"/>
      <c r="H12" s="12">
        <v>150</v>
      </c>
    </row>
    <row r="13" spans="1:10" x14ac:dyDescent="0.25">
      <c r="A13" s="4"/>
      <c r="B13" s="5" t="s">
        <v>23</v>
      </c>
      <c r="C13" s="5"/>
      <c r="D13" t="s">
        <v>20</v>
      </c>
      <c r="F13" s="11"/>
      <c r="G13" s="11"/>
      <c r="H13" s="12">
        <v>150</v>
      </c>
    </row>
    <row r="14" spans="1:10" x14ac:dyDescent="0.25">
      <c r="A14" s="4"/>
      <c r="B14" s="5" t="s">
        <v>24</v>
      </c>
      <c r="C14" s="5"/>
      <c r="D14" t="s">
        <v>14</v>
      </c>
      <c r="F14" s="11"/>
      <c r="G14" s="11"/>
      <c r="H14" s="12">
        <v>1E-4</v>
      </c>
    </row>
    <row r="15" spans="1:10" x14ac:dyDescent="0.25">
      <c r="B15" s="15"/>
      <c r="H15" s="16"/>
    </row>
    <row r="16" spans="1:10" x14ac:dyDescent="0.25">
      <c r="B16" s="15"/>
      <c r="H16" s="16"/>
    </row>
  </sheetData>
  <conditionalFormatting sqref="A4">
    <cfRule type="cellIs" dxfId="81" priority="2" operator="equal">
      <formula>"class"</formula>
    </cfRule>
  </conditionalFormatting>
  <conditionalFormatting sqref="A15:A16">
    <cfRule type="cellIs" dxfId="80" priority="4" operator="equal">
      <formula>"class"</formula>
    </cfRule>
  </conditionalFormatting>
  <conditionalFormatting sqref="A5:B14">
    <cfRule type="cellIs" dxfId="79" priority="1" operator="equal">
      <formula>"class"</formula>
    </cfRule>
  </conditionalFormatting>
  <conditionalFormatting sqref="B6:B7">
    <cfRule type="cellIs" dxfId="78" priority="6" operator="equal">
      <formula>"class"</formula>
    </cfRule>
  </conditionalFormatting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C3048A-46B3-487E-865A-6BB0F9AF5FB5}">
  <sheetPr>
    <tabColor theme="8" tint="-0.249977111117893"/>
  </sheetPr>
  <dimension ref="A1:O16"/>
  <sheetViews>
    <sheetView workbookViewId="0">
      <pane xSplit="3" ySplit="1" topLeftCell="D2" activePane="bottomRight" state="frozen"/>
      <selection activeCell="E6" sqref="E6:E9"/>
      <selection pane="topRight" activeCell="E6" sqref="E6:E9"/>
      <selection pane="bottomLeft" activeCell="E6" sqref="E6:E9"/>
      <selection pane="bottomRight" activeCell="Q12" sqref="Q12"/>
    </sheetView>
  </sheetViews>
  <sheetFormatPr defaultRowHeight="15" x14ac:dyDescent="0.25"/>
  <cols>
    <col min="1" max="1" width="14.42578125" style="15" customWidth="1"/>
    <col min="2" max="2" width="12.7109375" customWidth="1"/>
    <col min="3" max="3" width="15.7109375" customWidth="1"/>
    <col min="4" max="4" width="11.140625" customWidth="1"/>
    <col min="5" max="5" width="10.140625" bestFit="1" customWidth="1"/>
    <col min="6" max="8" width="10" customWidth="1"/>
    <col min="9" max="9" width="6.7109375" customWidth="1"/>
    <col min="10" max="10" width="38.5703125" bestFit="1" customWidth="1"/>
    <col min="11" max="15" width="6.7109375" customWidth="1"/>
  </cols>
  <sheetData>
    <row r="1" spans="1:15" x14ac:dyDescent="0.25">
      <c r="A1" s="1"/>
      <c r="B1" s="2"/>
      <c r="C1" s="3"/>
      <c r="D1" s="2" t="s">
        <v>0</v>
      </c>
      <c r="E1" s="2" t="s">
        <v>1</v>
      </c>
      <c r="F1" s="2" t="s">
        <v>2</v>
      </c>
      <c r="G1" s="2" t="s">
        <v>3</v>
      </c>
      <c r="H1" s="2" t="s">
        <v>4</v>
      </c>
    </row>
    <row r="2" spans="1:15" x14ac:dyDescent="0.25">
      <c r="A2" s="4" t="s">
        <v>5</v>
      </c>
      <c r="B2" s="5"/>
      <c r="C2" s="5"/>
      <c r="E2" s="6"/>
      <c r="F2" s="6"/>
      <c r="G2" s="6"/>
      <c r="H2" s="7" t="s">
        <v>6</v>
      </c>
    </row>
    <row r="3" spans="1:15" x14ac:dyDescent="0.25">
      <c r="A3" s="4" t="s">
        <v>7</v>
      </c>
      <c r="B3" s="5"/>
      <c r="C3" s="5"/>
      <c r="F3" s="6"/>
      <c r="G3" s="6"/>
      <c r="H3" s="7" t="s">
        <v>47</v>
      </c>
    </row>
    <row r="4" spans="1:15" x14ac:dyDescent="0.25">
      <c r="A4" s="8" t="s">
        <v>8</v>
      </c>
      <c r="B4" s="9"/>
      <c r="C4" s="9"/>
      <c r="D4" s="9"/>
      <c r="E4" s="9"/>
      <c r="F4" s="9"/>
      <c r="G4" s="9"/>
      <c r="H4" s="10" t="s">
        <v>9</v>
      </c>
    </row>
    <row r="5" spans="1:15" x14ac:dyDescent="0.25">
      <c r="A5" s="4" t="s">
        <v>10</v>
      </c>
      <c r="B5" s="5" t="s">
        <v>11</v>
      </c>
      <c r="C5" s="5"/>
      <c r="D5" t="s">
        <v>12</v>
      </c>
      <c r="F5" s="11"/>
      <c r="G5" s="11"/>
      <c r="H5" s="12">
        <v>5500</v>
      </c>
    </row>
    <row r="6" spans="1:15" x14ac:dyDescent="0.25">
      <c r="A6" s="4"/>
      <c r="B6" s="13" t="s">
        <v>13</v>
      </c>
      <c r="C6" s="5"/>
      <c r="D6" t="s">
        <v>14</v>
      </c>
      <c r="E6" t="s">
        <v>43</v>
      </c>
      <c r="F6" s="19">
        <f>-0.000217+0.05</f>
        <v>4.9783000000000001E-2</v>
      </c>
      <c r="G6" s="19">
        <v>0.65</v>
      </c>
      <c r="H6" s="19">
        <v>0.78</v>
      </c>
      <c r="J6" s="13" t="s">
        <v>43</v>
      </c>
      <c r="M6" s="6"/>
      <c r="N6" s="6"/>
      <c r="O6" s="6"/>
    </row>
    <row r="7" spans="1:15" x14ac:dyDescent="0.25">
      <c r="A7" s="4"/>
      <c r="B7" s="13" t="s">
        <v>15</v>
      </c>
      <c r="C7" s="5"/>
      <c r="D7" t="s">
        <v>14</v>
      </c>
      <c r="E7" t="s">
        <v>43</v>
      </c>
      <c r="F7" s="19">
        <f>-0.000217+0.05</f>
        <v>4.9783000000000001E-2</v>
      </c>
      <c r="G7" s="19">
        <v>0.71599999999999997</v>
      </c>
      <c r="H7" s="19">
        <v>0.42</v>
      </c>
      <c r="J7" s="13" t="s">
        <v>43</v>
      </c>
      <c r="M7" s="6"/>
      <c r="N7" s="6"/>
      <c r="O7" s="6"/>
    </row>
    <row r="8" spans="1:15" x14ac:dyDescent="0.25">
      <c r="A8" s="4" t="s">
        <v>16</v>
      </c>
      <c r="B8" s="14" t="s">
        <v>17</v>
      </c>
      <c r="C8" s="5"/>
      <c r="D8" t="s">
        <v>14</v>
      </c>
      <c r="E8" t="s">
        <v>43</v>
      </c>
      <c r="F8" s="11"/>
      <c r="G8" s="11"/>
      <c r="H8" s="18">
        <v>7.4999999999999997E-2</v>
      </c>
      <c r="J8" s="14" t="s">
        <v>43</v>
      </c>
    </row>
    <row r="9" spans="1:15" x14ac:dyDescent="0.25">
      <c r="A9" s="4"/>
      <c r="B9" s="14" t="s">
        <v>18</v>
      </c>
      <c r="C9" s="5"/>
      <c r="D9" t="s">
        <v>14</v>
      </c>
      <c r="E9" t="s">
        <v>43</v>
      </c>
      <c r="F9" s="11"/>
      <c r="G9" s="11"/>
      <c r="H9" s="18">
        <v>-7.4999999999999997E-2</v>
      </c>
      <c r="J9" s="14" t="s">
        <v>43</v>
      </c>
    </row>
    <row r="10" spans="1:15" x14ac:dyDescent="0.25">
      <c r="A10" s="4"/>
      <c r="B10" s="5" t="s">
        <v>19</v>
      </c>
      <c r="C10" s="5"/>
      <c r="D10" t="s">
        <v>20</v>
      </c>
      <c r="F10" s="11"/>
      <c r="G10" s="11"/>
      <c r="H10" s="12">
        <v>1000000</v>
      </c>
    </row>
    <row r="11" spans="1:15" x14ac:dyDescent="0.25">
      <c r="A11" s="4"/>
      <c r="B11" s="5" t="s">
        <v>21</v>
      </c>
      <c r="C11" s="5"/>
      <c r="D11" t="s">
        <v>20</v>
      </c>
      <c r="F11" s="11"/>
      <c r="G11" s="11"/>
      <c r="H11" s="12">
        <v>1000000</v>
      </c>
    </row>
    <row r="12" spans="1:15" x14ac:dyDescent="0.25">
      <c r="A12" s="4"/>
      <c r="B12" s="5" t="s">
        <v>22</v>
      </c>
      <c r="C12" s="5"/>
      <c r="D12" t="s">
        <v>20</v>
      </c>
      <c r="F12" s="11"/>
      <c r="G12" s="11"/>
      <c r="H12" s="12">
        <v>150</v>
      </c>
    </row>
    <row r="13" spans="1:15" x14ac:dyDescent="0.25">
      <c r="A13" s="4"/>
      <c r="B13" s="5" t="s">
        <v>23</v>
      </c>
      <c r="C13" s="5"/>
      <c r="D13" t="s">
        <v>20</v>
      </c>
      <c r="F13" s="11"/>
      <c r="G13" s="11"/>
      <c r="H13" s="12">
        <v>150</v>
      </c>
    </row>
    <row r="14" spans="1:15" x14ac:dyDescent="0.25">
      <c r="A14" s="4"/>
      <c r="B14" s="5" t="s">
        <v>24</v>
      </c>
      <c r="C14" s="5"/>
      <c r="D14" t="s">
        <v>14</v>
      </c>
      <c r="F14" s="11"/>
      <c r="G14" s="11"/>
      <c r="H14" s="12">
        <v>1E-4</v>
      </c>
    </row>
    <row r="15" spans="1:15" x14ac:dyDescent="0.25">
      <c r="B15" s="15"/>
      <c r="H15" s="16"/>
    </row>
    <row r="16" spans="1:15" x14ac:dyDescent="0.25">
      <c r="B16" s="15"/>
      <c r="H16" s="16"/>
    </row>
  </sheetData>
  <conditionalFormatting sqref="A4">
    <cfRule type="cellIs" dxfId="77" priority="2" operator="equal">
      <formula>"class"</formula>
    </cfRule>
  </conditionalFormatting>
  <conditionalFormatting sqref="A15:A16">
    <cfRule type="cellIs" dxfId="76" priority="3" operator="equal">
      <formula>"class"</formula>
    </cfRule>
  </conditionalFormatting>
  <conditionalFormatting sqref="A5:B14">
    <cfRule type="cellIs" dxfId="75" priority="4" operator="equal">
      <formula>"class"</formula>
    </cfRule>
  </conditionalFormatting>
  <conditionalFormatting sqref="B6:B7">
    <cfRule type="cellIs" dxfId="74" priority="1" operator="equal">
      <formula>"class"</formula>
    </cfRule>
  </conditionalFormatting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21573F-1F11-4ADF-905B-6CC58B4F678C}">
  <sheetPr>
    <tabColor theme="8" tint="-0.249977111117893"/>
  </sheetPr>
  <dimension ref="A1:O16"/>
  <sheetViews>
    <sheetView workbookViewId="0">
      <pane xSplit="3" ySplit="1" topLeftCell="D2" activePane="bottomRight" state="frozen"/>
      <selection activeCell="E6" sqref="E6:E9"/>
      <selection pane="topRight" activeCell="E6" sqref="E6:E9"/>
      <selection pane="bottomLeft" activeCell="E6" sqref="E6:E9"/>
      <selection pane="bottomRight" activeCell="F14" sqref="F14"/>
    </sheetView>
  </sheetViews>
  <sheetFormatPr defaultRowHeight="15" x14ac:dyDescent="0.25"/>
  <cols>
    <col min="1" max="1" width="14.42578125" style="15" customWidth="1"/>
    <col min="2" max="2" width="12.7109375" customWidth="1"/>
    <col min="3" max="3" width="15.7109375" customWidth="1"/>
    <col min="4" max="4" width="11.140625" customWidth="1"/>
    <col min="5" max="5" width="10.140625" bestFit="1" customWidth="1"/>
    <col min="6" max="8" width="10" customWidth="1"/>
    <col min="9" max="9" width="6.7109375" customWidth="1"/>
    <col min="10" max="10" width="38.5703125" bestFit="1" customWidth="1"/>
    <col min="11" max="15" width="6.7109375" customWidth="1"/>
  </cols>
  <sheetData>
    <row r="1" spans="1:15" x14ac:dyDescent="0.25">
      <c r="A1" s="1"/>
      <c r="B1" s="2"/>
      <c r="C1" s="3"/>
      <c r="D1" s="2" t="s">
        <v>0</v>
      </c>
      <c r="E1" s="2" t="s">
        <v>1</v>
      </c>
      <c r="F1" s="2" t="s">
        <v>2</v>
      </c>
      <c r="G1" s="2" t="s">
        <v>3</v>
      </c>
      <c r="H1" s="2" t="s">
        <v>4</v>
      </c>
    </row>
    <row r="2" spans="1:15" x14ac:dyDescent="0.25">
      <c r="A2" s="4" t="s">
        <v>5</v>
      </c>
      <c r="B2" s="5"/>
      <c r="C2" s="5"/>
      <c r="E2" s="6"/>
      <c r="F2" s="6"/>
      <c r="G2" s="6"/>
      <c r="H2" s="7" t="s">
        <v>6</v>
      </c>
    </row>
    <row r="3" spans="1:15" x14ac:dyDescent="0.25">
      <c r="A3" s="4" t="s">
        <v>7</v>
      </c>
      <c r="B3" s="5"/>
      <c r="C3" s="5"/>
      <c r="F3" s="6"/>
      <c r="G3" s="6"/>
      <c r="H3" s="7" t="s">
        <v>48</v>
      </c>
    </row>
    <row r="4" spans="1:15" x14ac:dyDescent="0.25">
      <c r="A4" s="8" t="s">
        <v>8</v>
      </c>
      <c r="B4" s="9"/>
      <c r="C4" s="9"/>
      <c r="D4" s="9"/>
      <c r="E4" s="9"/>
      <c r="F4" s="9"/>
      <c r="G4" s="9"/>
      <c r="H4" s="10" t="s">
        <v>9</v>
      </c>
    </row>
    <row r="5" spans="1:15" x14ac:dyDescent="0.25">
      <c r="A5" s="4" t="s">
        <v>10</v>
      </c>
      <c r="B5" s="5" t="s">
        <v>11</v>
      </c>
      <c r="C5" s="5"/>
      <c r="D5" t="s">
        <v>12</v>
      </c>
      <c r="F5" s="11"/>
      <c r="G5" s="11"/>
      <c r="H5" s="12">
        <v>5500</v>
      </c>
    </row>
    <row r="6" spans="1:15" x14ac:dyDescent="0.25">
      <c r="A6" s="4"/>
      <c r="B6" s="13" t="s">
        <v>13</v>
      </c>
      <c r="C6" s="5"/>
      <c r="D6" t="s">
        <v>14</v>
      </c>
      <c r="E6" t="s">
        <v>43</v>
      </c>
      <c r="F6" s="21">
        <v>-1.7000000000000001E-2</v>
      </c>
      <c r="G6" s="21">
        <v>0.48399999999999999</v>
      </c>
      <c r="H6" s="21">
        <v>0.65500000000000003</v>
      </c>
      <c r="J6" s="13" t="s">
        <v>43</v>
      </c>
      <c r="M6" s="6"/>
      <c r="N6" s="6"/>
      <c r="O6" s="6"/>
    </row>
    <row r="7" spans="1:15" x14ac:dyDescent="0.25">
      <c r="A7" s="4"/>
      <c r="B7" s="13" t="s">
        <v>15</v>
      </c>
      <c r="C7" s="5"/>
      <c r="D7" t="s">
        <v>14</v>
      </c>
      <c r="E7" t="s">
        <v>43</v>
      </c>
      <c r="F7" s="21">
        <v>-0.02</v>
      </c>
      <c r="G7" s="21">
        <v>0.49</v>
      </c>
      <c r="H7" s="21">
        <v>0.49199999999999999</v>
      </c>
      <c r="J7" s="13" t="s">
        <v>43</v>
      </c>
      <c r="M7" s="6"/>
      <c r="N7" s="6"/>
      <c r="O7" s="6"/>
    </row>
    <row r="8" spans="1:15" x14ac:dyDescent="0.25">
      <c r="A8" s="4" t="s">
        <v>16</v>
      </c>
      <c r="B8" s="14" t="s">
        <v>17</v>
      </c>
      <c r="C8" s="5"/>
      <c r="D8" t="s">
        <v>14</v>
      </c>
      <c r="E8" t="s">
        <v>43</v>
      </c>
      <c r="F8" s="11"/>
      <c r="G8" s="11"/>
      <c r="H8" s="18">
        <v>0.13500000000000001</v>
      </c>
      <c r="J8" s="14" t="s">
        <v>43</v>
      </c>
    </row>
    <row r="9" spans="1:15" x14ac:dyDescent="0.25">
      <c r="A9" s="4"/>
      <c r="B9" s="14" t="s">
        <v>18</v>
      </c>
      <c r="C9" s="5"/>
      <c r="D9" t="s">
        <v>14</v>
      </c>
      <c r="E9" t="s">
        <v>43</v>
      </c>
      <c r="F9" s="11"/>
      <c r="G9" s="11"/>
      <c r="H9" s="18">
        <v>-0.115</v>
      </c>
      <c r="J9" s="14" t="s">
        <v>43</v>
      </c>
    </row>
    <row r="10" spans="1:15" x14ac:dyDescent="0.25">
      <c r="A10" s="4"/>
      <c r="B10" s="5" t="s">
        <v>19</v>
      </c>
      <c r="C10" s="5"/>
      <c r="D10" t="s">
        <v>20</v>
      </c>
      <c r="F10" s="11"/>
      <c r="G10" s="11"/>
      <c r="H10" s="12">
        <v>1000000</v>
      </c>
    </row>
    <row r="11" spans="1:15" x14ac:dyDescent="0.25">
      <c r="A11" s="4"/>
      <c r="B11" s="5" t="s">
        <v>21</v>
      </c>
      <c r="C11" s="5"/>
      <c r="D11" t="s">
        <v>20</v>
      </c>
      <c r="F11" s="11"/>
      <c r="G11" s="11"/>
      <c r="H11" s="12">
        <v>1000000</v>
      </c>
    </row>
    <row r="12" spans="1:15" x14ac:dyDescent="0.25">
      <c r="A12" s="4"/>
      <c r="B12" s="5" t="s">
        <v>22</v>
      </c>
      <c r="C12" s="5"/>
      <c r="D12" t="s">
        <v>20</v>
      </c>
      <c r="F12" s="11"/>
      <c r="G12" s="11"/>
      <c r="H12" s="12">
        <v>150</v>
      </c>
    </row>
    <row r="13" spans="1:15" x14ac:dyDescent="0.25">
      <c r="A13" s="4"/>
      <c r="B13" s="5" t="s">
        <v>23</v>
      </c>
      <c r="C13" s="5"/>
      <c r="D13" t="s">
        <v>20</v>
      </c>
      <c r="F13" s="11"/>
      <c r="G13" s="11"/>
      <c r="H13" s="12">
        <v>150</v>
      </c>
    </row>
    <row r="14" spans="1:15" x14ac:dyDescent="0.25">
      <c r="A14" s="4"/>
      <c r="B14" s="5" t="s">
        <v>24</v>
      </c>
      <c r="C14" s="5"/>
      <c r="D14" t="s">
        <v>14</v>
      </c>
      <c r="F14" s="11"/>
      <c r="G14" s="11"/>
      <c r="H14" s="12">
        <v>1E-4</v>
      </c>
    </row>
    <row r="15" spans="1:15" x14ac:dyDescent="0.25">
      <c r="B15" s="15"/>
      <c r="H15" s="16"/>
    </row>
    <row r="16" spans="1:15" x14ac:dyDescent="0.25">
      <c r="B16" s="15"/>
      <c r="H16" s="16"/>
    </row>
  </sheetData>
  <conditionalFormatting sqref="A4">
    <cfRule type="cellIs" dxfId="73" priority="2" operator="equal">
      <formula>"class"</formula>
    </cfRule>
  </conditionalFormatting>
  <conditionalFormatting sqref="A15:A16">
    <cfRule type="cellIs" dxfId="72" priority="3" operator="equal">
      <formula>"class"</formula>
    </cfRule>
  </conditionalFormatting>
  <conditionalFormatting sqref="A5:B14">
    <cfRule type="cellIs" dxfId="71" priority="4" operator="equal">
      <formula>"class"</formula>
    </cfRule>
  </conditionalFormatting>
  <conditionalFormatting sqref="B6:B7">
    <cfRule type="cellIs" dxfId="70" priority="1" operator="equal">
      <formula>"class"</formula>
    </cfRule>
  </conditionalFormatting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57AC8F-BE69-4470-8A4D-D5FB6E915DC1}">
  <sheetPr>
    <tabColor theme="8" tint="-0.249977111117893"/>
  </sheetPr>
  <dimension ref="A1:O16"/>
  <sheetViews>
    <sheetView workbookViewId="0">
      <pane xSplit="3" ySplit="1" topLeftCell="D2" activePane="bottomRight" state="frozen"/>
      <selection activeCell="E6" sqref="E6:E9"/>
      <selection pane="topRight" activeCell="E6" sqref="E6:E9"/>
      <selection pane="bottomLeft" activeCell="E6" sqref="E6:E9"/>
      <selection pane="bottomRight" activeCell="F6" sqref="F6:H7"/>
    </sheetView>
  </sheetViews>
  <sheetFormatPr defaultRowHeight="15" x14ac:dyDescent="0.25"/>
  <cols>
    <col min="1" max="1" width="14.42578125" style="15" customWidth="1"/>
    <col min="2" max="2" width="12.7109375" customWidth="1"/>
    <col min="3" max="3" width="15.7109375" customWidth="1"/>
    <col min="4" max="4" width="11.140625" customWidth="1"/>
    <col min="5" max="5" width="10.140625" bestFit="1" customWidth="1"/>
    <col min="6" max="8" width="10" customWidth="1"/>
    <col min="9" max="9" width="6.7109375" customWidth="1"/>
    <col min="10" max="10" width="38.5703125" bestFit="1" customWidth="1"/>
    <col min="11" max="15" width="6.7109375" customWidth="1"/>
  </cols>
  <sheetData>
    <row r="1" spans="1:15" x14ac:dyDescent="0.25">
      <c r="A1" s="1"/>
      <c r="B1" s="2"/>
      <c r="C1" s="3"/>
      <c r="D1" s="2" t="s">
        <v>0</v>
      </c>
      <c r="E1" s="2" t="s">
        <v>1</v>
      </c>
      <c r="F1" s="2" t="s">
        <v>2</v>
      </c>
      <c r="G1" s="2" t="s">
        <v>3</v>
      </c>
      <c r="H1" s="2" t="s">
        <v>4</v>
      </c>
    </row>
    <row r="2" spans="1:15" x14ac:dyDescent="0.25">
      <c r="A2" s="4" t="s">
        <v>5</v>
      </c>
      <c r="B2" s="5"/>
      <c r="C2" s="5"/>
      <c r="E2" s="6"/>
      <c r="F2" s="6"/>
      <c r="G2" s="6"/>
      <c r="H2" s="7" t="s">
        <v>6</v>
      </c>
    </row>
    <row r="3" spans="1:15" x14ac:dyDescent="0.25">
      <c r="A3" s="4" t="s">
        <v>7</v>
      </c>
      <c r="B3" s="5"/>
      <c r="C3" s="5"/>
      <c r="F3" s="6"/>
      <c r="G3" s="6"/>
      <c r="H3" s="7" t="s">
        <v>51</v>
      </c>
    </row>
    <row r="4" spans="1:15" x14ac:dyDescent="0.25">
      <c r="A4" s="8" t="s">
        <v>8</v>
      </c>
      <c r="B4" s="9"/>
      <c r="C4" s="9"/>
      <c r="D4" s="9"/>
      <c r="E4" s="9"/>
      <c r="F4" s="9"/>
      <c r="G4" s="9"/>
      <c r="H4" s="10" t="s">
        <v>9</v>
      </c>
    </row>
    <row r="5" spans="1:15" x14ac:dyDescent="0.25">
      <c r="A5" s="4" t="s">
        <v>10</v>
      </c>
      <c r="B5" s="5" t="s">
        <v>11</v>
      </c>
      <c r="C5" s="5"/>
      <c r="D5" t="s">
        <v>12</v>
      </c>
      <c r="F5" s="11"/>
      <c r="G5" s="11"/>
      <c r="H5" s="12">
        <v>5500</v>
      </c>
    </row>
    <row r="6" spans="1:15" x14ac:dyDescent="0.25">
      <c r="A6" s="4"/>
      <c r="B6" s="13" t="s">
        <v>13</v>
      </c>
      <c r="C6" s="5"/>
      <c r="D6" t="s">
        <v>14</v>
      </c>
      <c r="E6" t="s">
        <v>43</v>
      </c>
      <c r="F6" s="19">
        <v>-2.6557142857142869E-3</v>
      </c>
      <c r="G6" s="17">
        <f>0.62-0.25</f>
        <v>0.37</v>
      </c>
      <c r="H6" s="17">
        <v>0.65</v>
      </c>
      <c r="J6" s="13" t="s">
        <v>43</v>
      </c>
      <c r="M6" s="6"/>
      <c r="N6" s="6"/>
      <c r="O6" s="6"/>
    </row>
    <row r="7" spans="1:15" x14ac:dyDescent="0.25">
      <c r="A7" s="4"/>
      <c r="B7" s="13" t="s">
        <v>15</v>
      </c>
      <c r="C7" s="5"/>
      <c r="D7" t="s">
        <v>14</v>
      </c>
      <c r="E7" t="s">
        <v>43</v>
      </c>
      <c r="F7" s="19">
        <v>5.5166428571428582E-2</v>
      </c>
      <c r="G7" s="17">
        <f>0.85-0.25</f>
        <v>0.6</v>
      </c>
      <c r="H7" s="17">
        <v>0.19</v>
      </c>
      <c r="J7" s="13" t="s">
        <v>43</v>
      </c>
      <c r="M7" s="6"/>
      <c r="N7" s="6"/>
      <c r="O7" s="6"/>
    </row>
    <row r="8" spans="1:15" x14ac:dyDescent="0.25">
      <c r="A8" s="4" t="s">
        <v>16</v>
      </c>
      <c r="B8" s="14" t="s">
        <v>17</v>
      </c>
      <c r="C8" s="5"/>
      <c r="D8" t="s">
        <v>14</v>
      </c>
      <c r="E8" t="s">
        <v>43</v>
      </c>
      <c r="F8" s="11"/>
      <c r="G8" s="11"/>
      <c r="H8" s="18">
        <v>0.13500000000000001</v>
      </c>
      <c r="J8" s="14" t="s">
        <v>43</v>
      </c>
    </row>
    <row r="9" spans="1:15" x14ac:dyDescent="0.25">
      <c r="A9" s="4"/>
      <c r="B9" s="14" t="s">
        <v>18</v>
      </c>
      <c r="C9" s="5"/>
      <c r="D9" t="s">
        <v>14</v>
      </c>
      <c r="E9" t="s">
        <v>43</v>
      </c>
      <c r="F9" s="11"/>
      <c r="G9" s="11"/>
      <c r="H9" s="18">
        <v>-0.115</v>
      </c>
      <c r="J9" s="14" t="s">
        <v>43</v>
      </c>
    </row>
    <row r="10" spans="1:15" x14ac:dyDescent="0.25">
      <c r="A10" s="4"/>
      <c r="B10" s="5" t="s">
        <v>19</v>
      </c>
      <c r="C10" s="5"/>
      <c r="D10" t="s">
        <v>20</v>
      </c>
      <c r="F10" s="11"/>
      <c r="G10" s="11"/>
      <c r="H10" s="12">
        <v>1000000</v>
      </c>
    </row>
    <row r="11" spans="1:15" x14ac:dyDescent="0.25">
      <c r="A11" s="4"/>
      <c r="B11" s="5" t="s">
        <v>21</v>
      </c>
      <c r="C11" s="5"/>
      <c r="D11" t="s">
        <v>20</v>
      </c>
      <c r="F11" s="11"/>
      <c r="G11" s="11"/>
      <c r="H11" s="12">
        <v>1000000</v>
      </c>
    </row>
    <row r="12" spans="1:15" x14ac:dyDescent="0.25">
      <c r="A12" s="4"/>
      <c r="B12" s="5" t="s">
        <v>22</v>
      </c>
      <c r="C12" s="5"/>
      <c r="D12" t="s">
        <v>20</v>
      </c>
      <c r="F12" s="11"/>
      <c r="G12" s="11"/>
      <c r="H12" s="12">
        <v>150</v>
      </c>
    </row>
    <row r="13" spans="1:15" x14ac:dyDescent="0.25">
      <c r="A13" s="4"/>
      <c r="B13" s="5" t="s">
        <v>23</v>
      </c>
      <c r="C13" s="5"/>
      <c r="D13" t="s">
        <v>20</v>
      </c>
      <c r="F13" s="11"/>
      <c r="G13" s="11"/>
      <c r="H13" s="12">
        <v>150</v>
      </c>
    </row>
    <row r="14" spans="1:15" x14ac:dyDescent="0.25">
      <c r="A14" s="4"/>
      <c r="B14" s="5" t="s">
        <v>24</v>
      </c>
      <c r="C14" s="5"/>
      <c r="D14" t="s">
        <v>14</v>
      </c>
      <c r="F14" s="11"/>
      <c r="G14" s="11"/>
      <c r="H14" s="12">
        <v>1E-4</v>
      </c>
    </row>
    <row r="15" spans="1:15" x14ac:dyDescent="0.25">
      <c r="B15" s="15"/>
      <c r="H15" s="16"/>
    </row>
    <row r="16" spans="1:15" x14ac:dyDescent="0.25">
      <c r="B16" s="15"/>
      <c r="H16" s="16"/>
    </row>
  </sheetData>
  <conditionalFormatting sqref="A4">
    <cfRule type="cellIs" dxfId="69" priority="2" operator="equal">
      <formula>"class"</formula>
    </cfRule>
  </conditionalFormatting>
  <conditionalFormatting sqref="A15:A16">
    <cfRule type="cellIs" dxfId="68" priority="3" operator="equal">
      <formula>"class"</formula>
    </cfRule>
  </conditionalFormatting>
  <conditionalFormatting sqref="A5:B14">
    <cfRule type="cellIs" dxfId="67" priority="4" operator="equal">
      <formula>"class"</formula>
    </cfRule>
  </conditionalFormatting>
  <conditionalFormatting sqref="B6:B7">
    <cfRule type="cellIs" dxfId="66" priority="1" operator="equal">
      <formula>"class"</formula>
    </cfRule>
  </conditionalFormatting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38D640-CBA3-483E-A877-B1ED0C3DFFA1}">
  <sheetPr>
    <tabColor theme="8" tint="-0.249977111117893"/>
  </sheetPr>
  <dimension ref="A1:O16"/>
  <sheetViews>
    <sheetView workbookViewId="0">
      <pane xSplit="3" ySplit="1" topLeftCell="D2" activePane="bottomRight" state="frozen"/>
      <selection activeCell="E6" sqref="E6:E9"/>
      <selection pane="topRight" activeCell="E6" sqref="E6:E9"/>
      <selection pane="bottomLeft" activeCell="E6" sqref="E6:E9"/>
      <selection pane="bottomRight" activeCell="F6" sqref="F6:H7"/>
    </sheetView>
  </sheetViews>
  <sheetFormatPr defaultRowHeight="15" x14ac:dyDescent="0.25"/>
  <cols>
    <col min="1" max="1" width="14.42578125" style="15" customWidth="1"/>
    <col min="2" max="2" width="12.7109375" customWidth="1"/>
    <col min="3" max="3" width="15.7109375" customWidth="1"/>
    <col min="4" max="4" width="11.140625" customWidth="1"/>
    <col min="5" max="5" width="10.140625" bestFit="1" customWidth="1"/>
    <col min="6" max="8" width="10" customWidth="1"/>
    <col min="9" max="9" width="6.7109375" customWidth="1"/>
    <col min="10" max="10" width="38.5703125" bestFit="1" customWidth="1"/>
    <col min="11" max="15" width="6.7109375" customWidth="1"/>
  </cols>
  <sheetData>
    <row r="1" spans="1:15" x14ac:dyDescent="0.25">
      <c r="A1" s="1"/>
      <c r="B1" s="2"/>
      <c r="C1" s="3"/>
      <c r="D1" s="2" t="s">
        <v>0</v>
      </c>
      <c r="E1" s="2" t="s">
        <v>1</v>
      </c>
      <c r="F1" s="2" t="s">
        <v>2</v>
      </c>
      <c r="G1" s="2" t="s">
        <v>3</v>
      </c>
      <c r="H1" s="2" t="s">
        <v>4</v>
      </c>
    </row>
    <row r="2" spans="1:15" x14ac:dyDescent="0.25">
      <c r="A2" s="4" t="s">
        <v>5</v>
      </c>
      <c r="B2" s="5"/>
      <c r="C2" s="5"/>
      <c r="E2" s="6"/>
      <c r="F2" s="6"/>
      <c r="G2" s="6"/>
      <c r="H2" s="7" t="s">
        <v>6</v>
      </c>
    </row>
    <row r="3" spans="1:15" x14ac:dyDescent="0.25">
      <c r="A3" s="4" t="s">
        <v>7</v>
      </c>
      <c r="B3" s="5"/>
      <c r="C3" s="5"/>
      <c r="F3" s="6"/>
      <c r="G3" s="6"/>
      <c r="H3" s="7" t="s">
        <v>49</v>
      </c>
    </row>
    <row r="4" spans="1:15" x14ac:dyDescent="0.25">
      <c r="A4" s="8" t="s">
        <v>8</v>
      </c>
      <c r="B4" s="9"/>
      <c r="C4" s="9"/>
      <c r="D4" s="9"/>
      <c r="E4" s="9"/>
      <c r="F4" s="9"/>
      <c r="G4" s="9"/>
      <c r="H4" s="10" t="s">
        <v>9</v>
      </c>
    </row>
    <row r="5" spans="1:15" x14ac:dyDescent="0.25">
      <c r="A5" s="4" t="s">
        <v>10</v>
      </c>
      <c r="B5" s="5" t="s">
        <v>11</v>
      </c>
      <c r="C5" s="5"/>
      <c r="D5" t="s">
        <v>12</v>
      </c>
      <c r="F5" s="11"/>
      <c r="G5" s="11"/>
      <c r="H5" s="12">
        <v>5500</v>
      </c>
    </row>
    <row r="6" spans="1:15" x14ac:dyDescent="0.25">
      <c r="A6" s="4"/>
      <c r="B6" s="13" t="s">
        <v>13</v>
      </c>
      <c r="C6" s="5"/>
      <c r="D6" t="s">
        <v>14</v>
      </c>
      <c r="E6" t="s">
        <v>43</v>
      </c>
      <c r="F6" s="22">
        <v>2E-3</v>
      </c>
      <c r="G6" s="22">
        <v>0.53800000000000003</v>
      </c>
      <c r="H6" s="22">
        <v>0.80200000000000005</v>
      </c>
      <c r="J6" s="13" t="s">
        <v>43</v>
      </c>
      <c r="M6" s="6"/>
      <c r="N6" s="6"/>
      <c r="O6" s="6"/>
    </row>
    <row r="7" spans="1:15" x14ac:dyDescent="0.25">
      <c r="A7" s="4"/>
      <c r="B7" s="13" t="s">
        <v>15</v>
      </c>
      <c r="C7" s="5"/>
      <c r="D7" t="s">
        <v>14</v>
      </c>
      <c r="E7" t="s">
        <v>43</v>
      </c>
      <c r="F7" s="22">
        <v>-2.4E-2</v>
      </c>
      <c r="G7" s="22">
        <v>0.54300000000000004</v>
      </c>
      <c r="H7" s="22">
        <v>0.57299999999999995</v>
      </c>
      <c r="J7" s="13" t="s">
        <v>43</v>
      </c>
      <c r="M7" s="6"/>
      <c r="N7" s="6"/>
      <c r="O7" s="6"/>
    </row>
    <row r="8" spans="1:15" x14ac:dyDescent="0.25">
      <c r="A8" s="4" t="s">
        <v>16</v>
      </c>
      <c r="B8" s="14" t="s">
        <v>17</v>
      </c>
      <c r="C8" s="5"/>
      <c r="D8" t="s">
        <v>14</v>
      </c>
      <c r="E8" t="s">
        <v>43</v>
      </c>
      <c r="F8" s="11"/>
      <c r="G8" s="11"/>
      <c r="H8" s="20">
        <f>0.3+H9</f>
        <v>0.11499999999999999</v>
      </c>
      <c r="J8" s="14" t="s">
        <v>43</v>
      </c>
    </row>
    <row r="9" spans="1:15" x14ac:dyDescent="0.25">
      <c r="A9" s="4"/>
      <c r="B9" s="14" t="s">
        <v>18</v>
      </c>
      <c r="C9" s="5"/>
      <c r="D9" t="s">
        <v>14</v>
      </c>
      <c r="E9" t="s">
        <v>43</v>
      </c>
      <c r="F9" s="11"/>
      <c r="G9" s="11"/>
      <c r="H9" s="20">
        <v>-0.185</v>
      </c>
      <c r="J9" s="14" t="s">
        <v>43</v>
      </c>
    </row>
    <row r="10" spans="1:15" x14ac:dyDescent="0.25">
      <c r="A10" s="4"/>
      <c r="B10" s="5" t="s">
        <v>19</v>
      </c>
      <c r="C10" s="5"/>
      <c r="D10" t="s">
        <v>20</v>
      </c>
      <c r="F10" s="11"/>
      <c r="G10" s="11"/>
      <c r="H10" s="12">
        <v>1000000</v>
      </c>
    </row>
    <row r="11" spans="1:15" x14ac:dyDescent="0.25">
      <c r="A11" s="4"/>
      <c r="B11" s="5" t="s">
        <v>21</v>
      </c>
      <c r="C11" s="5"/>
      <c r="D11" t="s">
        <v>20</v>
      </c>
      <c r="F11" s="11"/>
      <c r="G11" s="11"/>
      <c r="H11" s="12">
        <v>1000000</v>
      </c>
    </row>
    <row r="12" spans="1:15" x14ac:dyDescent="0.25">
      <c r="A12" s="4"/>
      <c r="B12" s="5" t="s">
        <v>22</v>
      </c>
      <c r="C12" s="5"/>
      <c r="D12" t="s">
        <v>20</v>
      </c>
      <c r="F12" s="11"/>
      <c r="G12" s="11"/>
      <c r="H12" s="12">
        <v>150</v>
      </c>
    </row>
    <row r="13" spans="1:15" x14ac:dyDescent="0.25">
      <c r="A13" s="4"/>
      <c r="B13" s="5" t="s">
        <v>23</v>
      </c>
      <c r="C13" s="5"/>
      <c r="D13" t="s">
        <v>20</v>
      </c>
      <c r="F13" s="11"/>
      <c r="G13" s="11"/>
      <c r="H13" s="12">
        <v>150</v>
      </c>
    </row>
    <row r="14" spans="1:15" x14ac:dyDescent="0.25">
      <c r="A14" s="4"/>
      <c r="B14" s="5" t="s">
        <v>24</v>
      </c>
      <c r="C14" s="5"/>
      <c r="D14" t="s">
        <v>14</v>
      </c>
      <c r="F14" s="11"/>
      <c r="G14" s="11"/>
      <c r="H14" s="12">
        <v>1E-4</v>
      </c>
    </row>
    <row r="15" spans="1:15" x14ac:dyDescent="0.25">
      <c r="B15" s="15"/>
      <c r="H15" s="16"/>
    </row>
    <row r="16" spans="1:15" x14ac:dyDescent="0.25">
      <c r="B16" s="15"/>
      <c r="H16" s="16"/>
    </row>
  </sheetData>
  <conditionalFormatting sqref="A4">
    <cfRule type="cellIs" dxfId="65" priority="2" operator="equal">
      <formula>"class"</formula>
    </cfRule>
  </conditionalFormatting>
  <conditionalFormatting sqref="A15:A16">
    <cfRule type="cellIs" dxfId="64" priority="3" operator="equal">
      <formula>"class"</formula>
    </cfRule>
  </conditionalFormatting>
  <conditionalFormatting sqref="A5:B14">
    <cfRule type="cellIs" dxfId="63" priority="4" operator="equal">
      <formula>"class"</formula>
    </cfRule>
  </conditionalFormatting>
  <conditionalFormatting sqref="B6:B7">
    <cfRule type="cellIs" dxfId="62" priority="1" operator="equal">
      <formula>"class"</formula>
    </cfRule>
  </conditionalFormatting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61E580-D0CE-4590-9FDA-35B09927279F}">
  <sheetPr>
    <tabColor theme="8" tint="-0.249977111117893"/>
  </sheetPr>
  <dimension ref="A1:O16"/>
  <sheetViews>
    <sheetView workbookViewId="0">
      <pane xSplit="3" ySplit="1" topLeftCell="D2" activePane="bottomRight" state="frozen"/>
      <selection activeCell="E6" sqref="E6:E9"/>
      <selection pane="topRight" activeCell="E6" sqref="E6:E9"/>
      <selection pane="bottomLeft" activeCell="E6" sqref="E6:E9"/>
      <selection pane="bottomRight" activeCell="J3" sqref="J3"/>
    </sheetView>
  </sheetViews>
  <sheetFormatPr defaultRowHeight="15" x14ac:dyDescent="0.25"/>
  <cols>
    <col min="1" max="1" width="14.42578125" style="15" customWidth="1"/>
    <col min="2" max="2" width="12.7109375" customWidth="1"/>
    <col min="3" max="3" width="15.7109375" customWidth="1"/>
    <col min="4" max="4" width="11.140625" customWidth="1"/>
    <col min="5" max="5" width="10.140625" bestFit="1" customWidth="1"/>
    <col min="6" max="8" width="10" customWidth="1"/>
    <col min="9" max="9" width="6.7109375" customWidth="1"/>
    <col min="10" max="10" width="38.5703125" bestFit="1" customWidth="1"/>
    <col min="11" max="15" width="6.7109375" customWidth="1"/>
  </cols>
  <sheetData>
    <row r="1" spans="1:15" x14ac:dyDescent="0.25">
      <c r="A1" s="1"/>
      <c r="B1" s="2"/>
      <c r="C1" s="3"/>
      <c r="D1" s="2" t="s">
        <v>0</v>
      </c>
      <c r="E1" s="2" t="s">
        <v>1</v>
      </c>
      <c r="F1" s="2" t="s">
        <v>2</v>
      </c>
      <c r="G1" s="2" t="s">
        <v>3</v>
      </c>
      <c r="H1" s="2" t="s">
        <v>4</v>
      </c>
    </row>
    <row r="2" spans="1:15" x14ac:dyDescent="0.25">
      <c r="A2" s="4" t="s">
        <v>5</v>
      </c>
      <c r="B2" s="5"/>
      <c r="C2" s="5"/>
      <c r="E2" s="6"/>
      <c r="F2" s="6"/>
      <c r="G2" s="6"/>
      <c r="H2" s="7" t="s">
        <v>6</v>
      </c>
    </row>
    <row r="3" spans="1:15" x14ac:dyDescent="0.25">
      <c r="A3" s="4" t="s">
        <v>7</v>
      </c>
      <c r="B3" s="5"/>
      <c r="C3" s="5"/>
      <c r="F3" s="6"/>
      <c r="G3" s="6"/>
      <c r="H3" s="7" t="s">
        <v>50</v>
      </c>
    </row>
    <row r="4" spans="1:15" x14ac:dyDescent="0.25">
      <c r="A4" s="8" t="s">
        <v>8</v>
      </c>
      <c r="B4" s="9"/>
      <c r="C4" s="9"/>
      <c r="D4" s="9"/>
      <c r="E4" s="9"/>
      <c r="F4" s="9"/>
      <c r="G4" s="9"/>
      <c r="H4" s="10" t="s">
        <v>9</v>
      </c>
    </row>
    <row r="5" spans="1:15" x14ac:dyDescent="0.25">
      <c r="A5" s="4" t="s">
        <v>10</v>
      </c>
      <c r="B5" s="5" t="s">
        <v>11</v>
      </c>
      <c r="C5" s="5"/>
      <c r="D5" t="s">
        <v>12</v>
      </c>
      <c r="F5" s="11"/>
      <c r="G5" s="11"/>
      <c r="H5" s="12">
        <v>5500</v>
      </c>
    </row>
    <row r="6" spans="1:15" x14ac:dyDescent="0.25">
      <c r="A6" s="4"/>
      <c r="B6" s="13" t="s">
        <v>13</v>
      </c>
      <c r="C6" s="5"/>
      <c r="D6" t="s">
        <v>14</v>
      </c>
      <c r="E6" t="s">
        <v>43</v>
      </c>
      <c r="F6" s="22">
        <f>-0.2</f>
        <v>-0.2</v>
      </c>
      <c r="G6" s="22">
        <v>0.4</v>
      </c>
      <c r="H6" s="22">
        <v>0.9</v>
      </c>
      <c r="J6" s="13" t="s">
        <v>43</v>
      </c>
      <c r="M6" s="6"/>
      <c r="N6" s="6"/>
      <c r="O6" s="6"/>
    </row>
    <row r="7" spans="1:15" x14ac:dyDescent="0.25">
      <c r="A7" s="4"/>
      <c r="B7" s="13" t="s">
        <v>15</v>
      </c>
      <c r="C7" s="5"/>
      <c r="D7" t="s">
        <v>14</v>
      </c>
      <c r="E7" t="s">
        <v>43</v>
      </c>
      <c r="F7" s="22">
        <v>-0.05</v>
      </c>
      <c r="G7" s="22">
        <v>0.6</v>
      </c>
      <c r="H7" s="22">
        <v>0.3</v>
      </c>
      <c r="J7" s="13" t="s">
        <v>43</v>
      </c>
      <c r="M7" s="6"/>
      <c r="N7" s="6"/>
      <c r="O7" s="6"/>
    </row>
    <row r="8" spans="1:15" x14ac:dyDescent="0.25">
      <c r="A8" s="4" t="s">
        <v>16</v>
      </c>
      <c r="B8" s="14" t="s">
        <v>17</v>
      </c>
      <c r="C8" s="5"/>
      <c r="D8" t="s">
        <v>14</v>
      </c>
      <c r="E8" t="s">
        <v>43</v>
      </c>
      <c r="F8" s="11"/>
      <c r="G8" s="11"/>
      <c r="H8" s="18">
        <v>0.13500000000000001</v>
      </c>
      <c r="J8" s="14" t="s">
        <v>43</v>
      </c>
    </row>
    <row r="9" spans="1:15" x14ac:dyDescent="0.25">
      <c r="A9" s="4"/>
      <c r="B9" s="14" t="s">
        <v>18</v>
      </c>
      <c r="C9" s="5"/>
      <c r="D9" t="s">
        <v>14</v>
      </c>
      <c r="E9" t="s">
        <v>43</v>
      </c>
      <c r="F9" s="11"/>
      <c r="G9" s="11"/>
      <c r="H9" s="18">
        <v>-0.115</v>
      </c>
      <c r="J9" s="14" t="s">
        <v>43</v>
      </c>
    </row>
    <row r="10" spans="1:15" x14ac:dyDescent="0.25">
      <c r="A10" s="4"/>
      <c r="B10" s="5" t="s">
        <v>19</v>
      </c>
      <c r="C10" s="5"/>
      <c r="D10" t="s">
        <v>20</v>
      </c>
      <c r="F10" s="11"/>
      <c r="G10" s="11"/>
      <c r="H10" s="12">
        <v>1000000</v>
      </c>
    </row>
    <row r="11" spans="1:15" x14ac:dyDescent="0.25">
      <c r="A11" s="4"/>
      <c r="B11" s="5" t="s">
        <v>21</v>
      </c>
      <c r="C11" s="5"/>
      <c r="D11" t="s">
        <v>20</v>
      </c>
      <c r="F11" s="11"/>
      <c r="G11" s="11"/>
      <c r="H11" s="12">
        <v>1000000</v>
      </c>
    </row>
    <row r="12" spans="1:15" x14ac:dyDescent="0.25">
      <c r="A12" s="4"/>
      <c r="B12" s="5" t="s">
        <v>22</v>
      </c>
      <c r="C12" s="5"/>
      <c r="D12" t="s">
        <v>20</v>
      </c>
      <c r="F12" s="11"/>
      <c r="G12" s="11"/>
      <c r="H12" s="12">
        <v>150</v>
      </c>
    </row>
    <row r="13" spans="1:15" x14ac:dyDescent="0.25">
      <c r="A13" s="4"/>
      <c r="B13" s="5" t="s">
        <v>23</v>
      </c>
      <c r="C13" s="5"/>
      <c r="D13" t="s">
        <v>20</v>
      </c>
      <c r="F13" s="11"/>
      <c r="G13" s="11"/>
      <c r="H13" s="12">
        <v>150</v>
      </c>
    </row>
    <row r="14" spans="1:15" x14ac:dyDescent="0.25">
      <c r="A14" s="4"/>
      <c r="B14" s="5" t="s">
        <v>24</v>
      </c>
      <c r="C14" s="5"/>
      <c r="D14" t="s">
        <v>14</v>
      </c>
      <c r="F14" s="11"/>
      <c r="G14" s="11"/>
      <c r="H14" s="12">
        <v>1E-4</v>
      </c>
    </row>
    <row r="15" spans="1:15" x14ac:dyDescent="0.25">
      <c r="B15" s="15"/>
      <c r="H15" s="16"/>
    </row>
    <row r="16" spans="1:15" x14ac:dyDescent="0.25">
      <c r="B16" s="15"/>
      <c r="H16" s="16"/>
    </row>
  </sheetData>
  <conditionalFormatting sqref="A4">
    <cfRule type="cellIs" dxfId="61" priority="2" operator="equal">
      <formula>"class"</formula>
    </cfRule>
  </conditionalFormatting>
  <conditionalFormatting sqref="A15:A16">
    <cfRule type="cellIs" dxfId="60" priority="3" operator="equal">
      <formula>"class"</formula>
    </cfRule>
  </conditionalFormatting>
  <conditionalFormatting sqref="A5:B14">
    <cfRule type="cellIs" dxfId="59" priority="4" operator="equal">
      <formula>"class"</formula>
    </cfRule>
  </conditionalFormatting>
  <conditionalFormatting sqref="B6:B7">
    <cfRule type="cellIs" dxfId="58" priority="1" operator="equal">
      <formula>"class"</formula>
    </cfRule>
  </conditionalFormatting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03DE00C-0D22-4E10-ADDF-A6B5A2804B27}">
  <sheetPr>
    <tabColor theme="7" tint="0.79998168889431442"/>
  </sheetPr>
  <dimension ref="A1:O16"/>
  <sheetViews>
    <sheetView workbookViewId="0">
      <pane xSplit="3" ySplit="1" topLeftCell="D2" activePane="bottomRight" state="frozen"/>
      <selection activeCell="E6" sqref="E6:E9"/>
      <selection pane="topRight" activeCell="E6" sqref="E6:E9"/>
      <selection pane="bottomLeft" activeCell="E6" sqref="E6:E9"/>
      <selection pane="bottomRight" activeCell="F6" sqref="F6"/>
    </sheetView>
  </sheetViews>
  <sheetFormatPr defaultRowHeight="15" x14ac:dyDescent="0.25"/>
  <cols>
    <col min="1" max="1" width="14.42578125" style="15" customWidth="1"/>
    <col min="2" max="2" width="12.7109375" customWidth="1"/>
    <col min="3" max="3" width="15.7109375" customWidth="1"/>
    <col min="4" max="4" width="11.140625" customWidth="1"/>
    <col min="5" max="5" width="10.140625" bestFit="1" customWidth="1"/>
    <col min="6" max="8" width="10" customWidth="1"/>
    <col min="9" max="9" width="6.7109375" customWidth="1"/>
    <col min="10" max="10" width="38.5703125" bestFit="1" customWidth="1"/>
    <col min="11" max="15" width="6.7109375" customWidth="1"/>
  </cols>
  <sheetData>
    <row r="1" spans="1:15" x14ac:dyDescent="0.25">
      <c r="A1" s="1"/>
      <c r="B1" s="2"/>
      <c r="C1" s="3"/>
      <c r="D1" s="2" t="s">
        <v>0</v>
      </c>
      <c r="E1" s="2" t="s">
        <v>1</v>
      </c>
      <c r="F1" s="2" t="s">
        <v>2</v>
      </c>
      <c r="G1" s="2" t="s">
        <v>3</v>
      </c>
      <c r="H1" s="2" t="s">
        <v>4</v>
      </c>
    </row>
    <row r="2" spans="1:15" x14ac:dyDescent="0.25">
      <c r="A2" s="4" t="s">
        <v>5</v>
      </c>
      <c r="B2" s="5"/>
      <c r="C2" s="5"/>
      <c r="E2" s="6"/>
      <c r="F2" s="6"/>
      <c r="G2" s="6"/>
      <c r="H2" s="7" t="s">
        <v>6</v>
      </c>
    </row>
    <row r="3" spans="1:15" x14ac:dyDescent="0.25">
      <c r="A3" s="4" t="s">
        <v>7</v>
      </c>
      <c r="B3" s="5"/>
      <c r="C3" s="5"/>
      <c r="F3" s="6"/>
      <c r="G3" s="6"/>
      <c r="H3" s="7" t="s">
        <v>38</v>
      </c>
    </row>
    <row r="4" spans="1:15" x14ac:dyDescent="0.25">
      <c r="A4" s="8" t="s">
        <v>8</v>
      </c>
      <c r="B4" s="9"/>
      <c r="C4" s="9"/>
      <c r="D4" s="9"/>
      <c r="E4" s="9"/>
      <c r="F4" s="9"/>
      <c r="G4" s="9"/>
      <c r="H4" s="10" t="s">
        <v>9</v>
      </c>
    </row>
    <row r="5" spans="1:15" x14ac:dyDescent="0.25">
      <c r="A5" s="4" t="s">
        <v>10</v>
      </c>
      <c r="B5" s="5" t="s">
        <v>11</v>
      </c>
      <c r="C5" s="5"/>
      <c r="D5" t="s">
        <v>12</v>
      </c>
      <c r="F5" s="11"/>
      <c r="G5" s="11"/>
      <c r="H5" s="12">
        <v>5000</v>
      </c>
    </row>
    <row r="6" spans="1:15" x14ac:dyDescent="0.25">
      <c r="A6" s="4"/>
      <c r="B6" s="13" t="s">
        <v>13</v>
      </c>
      <c r="C6" s="5"/>
      <c r="D6" t="s">
        <v>14</v>
      </c>
      <c r="E6" t="s">
        <v>43</v>
      </c>
      <c r="F6" s="19">
        <v>-0.18698999999999999</v>
      </c>
      <c r="G6" s="19">
        <v>0.13600000000000001</v>
      </c>
      <c r="H6" s="19">
        <v>8.6370000000000002E-2</v>
      </c>
      <c r="J6" s="13" t="s">
        <v>43</v>
      </c>
      <c r="M6" s="6"/>
      <c r="N6" s="6"/>
      <c r="O6" s="6"/>
    </row>
    <row r="7" spans="1:15" x14ac:dyDescent="0.25">
      <c r="A7" s="4"/>
      <c r="B7" s="13" t="s">
        <v>15</v>
      </c>
      <c r="C7" s="5"/>
      <c r="D7" t="s">
        <v>14</v>
      </c>
      <c r="E7" t="s">
        <v>43</v>
      </c>
      <c r="F7" s="19">
        <v>-1.342E-2</v>
      </c>
      <c r="G7" s="19">
        <v>0.15826999999999999</v>
      </c>
      <c r="H7" s="19">
        <v>8.8069999999999996E-2</v>
      </c>
      <c r="J7" s="13" t="s">
        <v>43</v>
      </c>
      <c r="M7" s="6"/>
      <c r="N7" s="6"/>
      <c r="O7" s="6"/>
    </row>
    <row r="8" spans="1:15" x14ac:dyDescent="0.25">
      <c r="A8" s="4" t="s">
        <v>16</v>
      </c>
      <c r="B8" s="14" t="s">
        <v>17</v>
      </c>
      <c r="C8" s="5"/>
      <c r="D8" t="s">
        <v>14</v>
      </c>
      <c r="E8" t="s">
        <v>43</v>
      </c>
      <c r="F8" s="11"/>
      <c r="G8" s="11"/>
      <c r="H8" s="20">
        <v>2.5000000000000001E-2</v>
      </c>
      <c r="J8" s="14" t="s">
        <v>43</v>
      </c>
    </row>
    <row r="9" spans="1:15" x14ac:dyDescent="0.25">
      <c r="A9" s="4"/>
      <c r="B9" s="14" t="s">
        <v>18</v>
      </c>
      <c r="C9" s="5"/>
      <c r="D9" t="s">
        <v>14</v>
      </c>
      <c r="E9" t="s">
        <v>43</v>
      </c>
      <c r="F9" s="11"/>
      <c r="G9" s="11"/>
      <c r="H9" s="20">
        <v>-4.4999999999999998E-2</v>
      </c>
      <c r="J9" s="14" t="s">
        <v>43</v>
      </c>
    </row>
    <row r="10" spans="1:15" x14ac:dyDescent="0.25">
      <c r="A10" s="4"/>
      <c r="B10" s="5" t="s">
        <v>19</v>
      </c>
      <c r="C10" s="5"/>
      <c r="D10" t="s">
        <v>20</v>
      </c>
      <c r="F10" s="11"/>
      <c r="G10" s="11"/>
      <c r="H10" s="12">
        <v>1000000</v>
      </c>
    </row>
    <row r="11" spans="1:15" x14ac:dyDescent="0.25">
      <c r="A11" s="4"/>
      <c r="B11" s="5" t="s">
        <v>21</v>
      </c>
      <c r="C11" s="5"/>
      <c r="D11" t="s">
        <v>20</v>
      </c>
      <c r="F11" s="11"/>
      <c r="G11" s="11"/>
      <c r="H11" s="12">
        <v>1000000</v>
      </c>
    </row>
    <row r="12" spans="1:15" x14ac:dyDescent="0.25">
      <c r="A12" s="4"/>
      <c r="B12" s="5" t="s">
        <v>22</v>
      </c>
      <c r="C12" s="5"/>
      <c r="D12" t="s">
        <v>20</v>
      </c>
      <c r="F12" s="11"/>
      <c r="G12" s="11"/>
      <c r="H12" s="12">
        <v>150</v>
      </c>
    </row>
    <row r="13" spans="1:15" x14ac:dyDescent="0.25">
      <c r="A13" s="4"/>
      <c r="B13" s="5" t="s">
        <v>23</v>
      </c>
      <c r="C13" s="5"/>
      <c r="D13" t="s">
        <v>20</v>
      </c>
      <c r="F13" s="11"/>
      <c r="G13" s="11"/>
      <c r="H13" s="12">
        <v>150</v>
      </c>
    </row>
    <row r="14" spans="1:15" x14ac:dyDescent="0.25">
      <c r="A14" s="4"/>
      <c r="B14" s="5" t="s">
        <v>24</v>
      </c>
      <c r="C14" s="5"/>
      <c r="D14" t="s">
        <v>14</v>
      </c>
      <c r="F14" s="11"/>
      <c r="G14" s="11"/>
      <c r="H14" s="12">
        <v>1E-4</v>
      </c>
    </row>
    <row r="15" spans="1:15" x14ac:dyDescent="0.25">
      <c r="B15" s="15"/>
      <c r="H15" s="16"/>
    </row>
    <row r="16" spans="1:15" x14ac:dyDescent="0.25">
      <c r="B16" s="15"/>
      <c r="H16" s="16"/>
    </row>
  </sheetData>
  <conditionalFormatting sqref="A4">
    <cfRule type="cellIs" dxfId="57" priority="2" operator="equal">
      <formula>"class"</formula>
    </cfRule>
  </conditionalFormatting>
  <conditionalFormatting sqref="A15:A16">
    <cfRule type="cellIs" dxfId="56" priority="3" operator="equal">
      <formula>"class"</formula>
    </cfRule>
  </conditionalFormatting>
  <conditionalFormatting sqref="A5:B14">
    <cfRule type="cellIs" dxfId="55" priority="5" operator="equal">
      <formula>"class"</formula>
    </cfRule>
  </conditionalFormatting>
  <conditionalFormatting sqref="B6:B7">
    <cfRule type="cellIs" dxfId="54" priority="1" operator="equal">
      <formula>"class"</formula>
    </cfRule>
  </conditionalFormatting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F89D19-CC9A-4B9F-B46A-567CDA61FCA2}">
  <sheetPr>
    <tabColor theme="7" tint="0.79998168889431442"/>
  </sheetPr>
  <dimension ref="A1:O16"/>
  <sheetViews>
    <sheetView workbookViewId="0">
      <pane xSplit="3" ySplit="1" topLeftCell="D2" activePane="bottomRight" state="frozen"/>
      <selection activeCell="E6" sqref="E6:E9"/>
      <selection pane="topRight" activeCell="E6" sqref="E6:E9"/>
      <selection pane="bottomLeft" activeCell="E6" sqref="E6:E9"/>
      <selection pane="bottomRight" activeCell="E6" sqref="E6:E9"/>
    </sheetView>
  </sheetViews>
  <sheetFormatPr defaultRowHeight="15" x14ac:dyDescent="0.25"/>
  <cols>
    <col min="1" max="1" width="14.42578125" style="15" customWidth="1"/>
    <col min="2" max="2" width="12.7109375" customWidth="1"/>
    <col min="3" max="3" width="15.7109375" customWidth="1"/>
    <col min="4" max="4" width="11.140625" customWidth="1"/>
    <col min="5" max="5" width="10.140625" bestFit="1" customWidth="1"/>
    <col min="6" max="8" width="10" customWidth="1"/>
    <col min="9" max="9" width="6.7109375" customWidth="1"/>
    <col min="10" max="10" width="38.5703125" bestFit="1" customWidth="1"/>
    <col min="11" max="15" width="6.7109375" customWidth="1"/>
  </cols>
  <sheetData>
    <row r="1" spans="1:15" x14ac:dyDescent="0.25">
      <c r="A1" s="1"/>
      <c r="B1" s="2"/>
      <c r="C1" s="3"/>
      <c r="D1" s="2" t="s">
        <v>0</v>
      </c>
      <c r="E1" s="2" t="s">
        <v>1</v>
      </c>
      <c r="F1" s="2" t="s">
        <v>2</v>
      </c>
      <c r="G1" s="2" t="s">
        <v>3</v>
      </c>
      <c r="H1" s="2" t="s">
        <v>4</v>
      </c>
    </row>
    <row r="2" spans="1:15" x14ac:dyDescent="0.25">
      <c r="A2" s="4" t="s">
        <v>5</v>
      </c>
      <c r="B2" s="5"/>
      <c r="C2" s="5"/>
      <c r="E2" s="6"/>
      <c r="F2" s="6"/>
      <c r="G2" s="6"/>
      <c r="H2" s="7" t="s">
        <v>6</v>
      </c>
    </row>
    <row r="3" spans="1:15" x14ac:dyDescent="0.25">
      <c r="A3" s="4" t="s">
        <v>7</v>
      </c>
      <c r="B3" s="5"/>
      <c r="C3" s="5"/>
      <c r="F3" s="6"/>
      <c r="G3" s="6"/>
      <c r="H3" s="7" t="s">
        <v>39</v>
      </c>
    </row>
    <row r="4" spans="1:15" x14ac:dyDescent="0.25">
      <c r="A4" s="8" t="s">
        <v>8</v>
      </c>
      <c r="B4" s="9"/>
      <c r="C4" s="9"/>
      <c r="D4" s="9"/>
      <c r="E4" s="9"/>
      <c r="F4" s="9"/>
      <c r="G4" s="9"/>
      <c r="H4" s="10" t="s">
        <v>9</v>
      </c>
    </row>
    <row r="5" spans="1:15" x14ac:dyDescent="0.25">
      <c r="A5" s="4" t="s">
        <v>10</v>
      </c>
      <c r="B5" s="5" t="s">
        <v>11</v>
      </c>
      <c r="C5" s="5"/>
      <c r="D5" t="s">
        <v>12</v>
      </c>
      <c r="F5" s="11"/>
      <c r="G5" s="11"/>
      <c r="H5" s="12">
        <v>5000</v>
      </c>
    </row>
    <row r="6" spans="1:15" x14ac:dyDescent="0.25">
      <c r="A6" s="4"/>
      <c r="B6" s="13" t="s">
        <v>13</v>
      </c>
      <c r="C6" s="5"/>
      <c r="D6" t="s">
        <v>14</v>
      </c>
      <c r="E6" t="s">
        <v>43</v>
      </c>
      <c r="F6" s="19">
        <v>0.22999</v>
      </c>
      <c r="G6" s="19">
        <v>0.22700000000000001</v>
      </c>
      <c r="H6" s="19">
        <v>0.15606999999999999</v>
      </c>
      <c r="J6" s="13" t="s">
        <v>43</v>
      </c>
      <c r="M6" s="6"/>
      <c r="N6" s="6"/>
      <c r="O6" s="6"/>
    </row>
    <row r="7" spans="1:15" x14ac:dyDescent="0.25">
      <c r="A7" s="4"/>
      <c r="B7" s="13" t="s">
        <v>15</v>
      </c>
      <c r="C7" s="5"/>
      <c r="D7" t="s">
        <v>14</v>
      </c>
      <c r="E7" t="s">
        <v>43</v>
      </c>
      <c r="F7" s="19">
        <v>5.9749999999999998E-2</v>
      </c>
      <c r="G7" s="19">
        <v>0.26723000000000002</v>
      </c>
      <c r="H7" s="19">
        <v>0.16078999999999999</v>
      </c>
      <c r="J7" s="13" t="s">
        <v>43</v>
      </c>
      <c r="M7" s="6"/>
      <c r="N7" s="6"/>
      <c r="O7" s="6"/>
    </row>
    <row r="8" spans="1:15" x14ac:dyDescent="0.25">
      <c r="A8" s="4" t="s">
        <v>16</v>
      </c>
      <c r="B8" s="14" t="s">
        <v>17</v>
      </c>
      <c r="C8" s="5"/>
      <c r="D8" t="s">
        <v>14</v>
      </c>
      <c r="E8" t="s">
        <v>43</v>
      </c>
      <c r="F8" s="11"/>
      <c r="G8" s="11"/>
      <c r="H8" s="20">
        <v>2.5000000000000001E-2</v>
      </c>
      <c r="J8" s="14" t="s">
        <v>43</v>
      </c>
    </row>
    <row r="9" spans="1:15" x14ac:dyDescent="0.25">
      <c r="A9" s="4"/>
      <c r="B9" s="14" t="s">
        <v>18</v>
      </c>
      <c r="C9" s="5"/>
      <c r="D9" t="s">
        <v>14</v>
      </c>
      <c r="E9" t="s">
        <v>43</v>
      </c>
      <c r="F9" s="11"/>
      <c r="G9" s="11"/>
      <c r="H9" s="20">
        <v>-4.4999999999999998E-2</v>
      </c>
      <c r="J9" s="14" t="s">
        <v>43</v>
      </c>
    </row>
    <row r="10" spans="1:15" x14ac:dyDescent="0.25">
      <c r="A10" s="4"/>
      <c r="B10" s="5" t="s">
        <v>19</v>
      </c>
      <c r="C10" s="5"/>
      <c r="D10" t="s">
        <v>20</v>
      </c>
      <c r="F10" s="11"/>
      <c r="G10" s="11"/>
      <c r="H10" s="12">
        <v>1000000</v>
      </c>
    </row>
    <row r="11" spans="1:15" x14ac:dyDescent="0.25">
      <c r="A11" s="4"/>
      <c r="B11" s="5" t="s">
        <v>21</v>
      </c>
      <c r="C11" s="5"/>
      <c r="D11" t="s">
        <v>20</v>
      </c>
      <c r="F11" s="11"/>
      <c r="G11" s="11"/>
      <c r="H11" s="12">
        <v>1000000</v>
      </c>
    </row>
    <row r="12" spans="1:15" x14ac:dyDescent="0.25">
      <c r="A12" s="4"/>
      <c r="B12" s="5" t="s">
        <v>22</v>
      </c>
      <c r="C12" s="5"/>
      <c r="D12" t="s">
        <v>20</v>
      </c>
      <c r="F12" s="11"/>
      <c r="G12" s="11"/>
      <c r="H12" s="12">
        <v>150</v>
      </c>
    </row>
    <row r="13" spans="1:15" x14ac:dyDescent="0.25">
      <c r="A13" s="4"/>
      <c r="B13" s="5" t="s">
        <v>23</v>
      </c>
      <c r="C13" s="5"/>
      <c r="D13" t="s">
        <v>20</v>
      </c>
      <c r="F13" s="11"/>
      <c r="G13" s="11"/>
      <c r="H13" s="12">
        <v>150</v>
      </c>
    </row>
    <row r="14" spans="1:15" x14ac:dyDescent="0.25">
      <c r="A14" s="4"/>
      <c r="B14" s="5" t="s">
        <v>24</v>
      </c>
      <c r="C14" s="5"/>
      <c r="D14" t="s">
        <v>14</v>
      </c>
      <c r="F14" s="11"/>
      <c r="G14" s="11"/>
      <c r="H14" s="12">
        <v>1E-4</v>
      </c>
    </row>
    <row r="15" spans="1:15" x14ac:dyDescent="0.25">
      <c r="B15" s="15"/>
      <c r="H15" s="16"/>
    </row>
    <row r="16" spans="1:15" x14ac:dyDescent="0.25">
      <c r="B16" s="15"/>
      <c r="H16" s="16"/>
    </row>
  </sheetData>
  <conditionalFormatting sqref="A4">
    <cfRule type="cellIs" dxfId="53" priority="2" operator="equal">
      <formula>"class"</formula>
    </cfRule>
  </conditionalFormatting>
  <conditionalFormatting sqref="A15:A16">
    <cfRule type="cellIs" dxfId="52" priority="3" operator="equal">
      <formula>"class"</formula>
    </cfRule>
  </conditionalFormatting>
  <conditionalFormatting sqref="A5:B14">
    <cfRule type="cellIs" dxfId="51" priority="5" operator="equal">
      <formula>"class"</formula>
    </cfRule>
  </conditionalFormatting>
  <conditionalFormatting sqref="B6:B7">
    <cfRule type="cellIs" dxfId="50" priority="1" operator="equal">
      <formula>"class"</formula>
    </cfRule>
  </conditionalFormatting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080E28-D3C4-40AE-9E29-0AD7864B2A78}">
  <sheetPr>
    <tabColor theme="7" tint="0.79998168889431442"/>
  </sheetPr>
  <dimension ref="A1:O16"/>
  <sheetViews>
    <sheetView workbookViewId="0">
      <pane xSplit="3" ySplit="1" topLeftCell="D2" activePane="bottomRight" state="frozen"/>
      <selection activeCell="E6" sqref="E6:E9"/>
      <selection pane="topRight" activeCell="E6" sqref="E6:E9"/>
      <selection pane="bottomLeft" activeCell="E6" sqref="E6:E9"/>
      <selection pane="bottomRight" activeCell="J18" sqref="J18"/>
    </sheetView>
  </sheetViews>
  <sheetFormatPr defaultRowHeight="15" x14ac:dyDescent="0.25"/>
  <cols>
    <col min="1" max="1" width="14.42578125" style="15" customWidth="1"/>
    <col min="2" max="2" width="12.7109375" customWidth="1"/>
    <col min="3" max="3" width="15.7109375" customWidth="1"/>
    <col min="4" max="4" width="11.140625" customWidth="1"/>
    <col min="5" max="5" width="10.140625" bestFit="1" customWidth="1"/>
    <col min="6" max="8" width="10" customWidth="1"/>
    <col min="9" max="9" width="6.7109375" customWidth="1"/>
    <col min="10" max="10" width="38.5703125" bestFit="1" customWidth="1"/>
    <col min="11" max="15" width="6.7109375" customWidth="1"/>
  </cols>
  <sheetData>
    <row r="1" spans="1:15" x14ac:dyDescent="0.25">
      <c r="A1" s="1"/>
      <c r="B1" s="2"/>
      <c r="C1" s="3"/>
      <c r="D1" s="2" t="s">
        <v>0</v>
      </c>
      <c r="E1" s="2" t="s">
        <v>1</v>
      </c>
      <c r="F1" s="2" t="s">
        <v>2</v>
      </c>
      <c r="G1" s="2" t="s">
        <v>3</v>
      </c>
      <c r="H1" s="2" t="s">
        <v>4</v>
      </c>
    </row>
    <row r="2" spans="1:15" x14ac:dyDescent="0.25">
      <c r="A2" s="4" t="s">
        <v>5</v>
      </c>
      <c r="B2" s="5"/>
      <c r="C2" s="5"/>
      <c r="E2" s="6"/>
      <c r="F2" s="6"/>
      <c r="G2" s="6"/>
      <c r="H2" s="7" t="s">
        <v>6</v>
      </c>
    </row>
    <row r="3" spans="1:15" x14ac:dyDescent="0.25">
      <c r="A3" s="4" t="s">
        <v>7</v>
      </c>
      <c r="B3" s="5"/>
      <c r="C3" s="5"/>
      <c r="F3" s="6"/>
      <c r="G3" s="6"/>
      <c r="H3" s="7" t="s">
        <v>44</v>
      </c>
    </row>
    <row r="4" spans="1:15" x14ac:dyDescent="0.25">
      <c r="A4" s="8" t="s">
        <v>8</v>
      </c>
      <c r="B4" s="9"/>
      <c r="C4" s="9"/>
      <c r="D4" s="9"/>
      <c r="E4" s="9"/>
      <c r="F4" s="9"/>
      <c r="G4" s="9"/>
      <c r="H4" s="10" t="s">
        <v>9</v>
      </c>
    </row>
    <row r="5" spans="1:15" x14ac:dyDescent="0.25">
      <c r="A5" s="4" t="s">
        <v>10</v>
      </c>
      <c r="B5" s="5" t="s">
        <v>11</v>
      </c>
      <c r="C5" s="5"/>
      <c r="D5" t="s">
        <v>12</v>
      </c>
      <c r="F5" s="11"/>
      <c r="G5" s="11"/>
      <c r="H5" s="12">
        <v>5000</v>
      </c>
    </row>
    <row r="6" spans="1:15" x14ac:dyDescent="0.25">
      <c r="A6" s="4"/>
      <c r="B6" s="13" t="s">
        <v>13</v>
      </c>
      <c r="C6" s="5"/>
      <c r="D6" t="s">
        <v>14</v>
      </c>
      <c r="E6" t="s">
        <v>43</v>
      </c>
      <c r="F6" s="19">
        <v>0.17019999999999999</v>
      </c>
      <c r="G6" s="19">
        <v>0.15</v>
      </c>
      <c r="H6" s="19">
        <v>0.4</v>
      </c>
      <c r="J6" s="13" t="s">
        <v>43</v>
      </c>
      <c r="M6" s="6"/>
      <c r="N6" s="6"/>
      <c r="O6" s="6"/>
    </row>
    <row r="7" spans="1:15" x14ac:dyDescent="0.25">
      <c r="A7" s="4"/>
      <c r="B7" s="13" t="s">
        <v>15</v>
      </c>
      <c r="C7" s="5"/>
      <c r="D7" t="s">
        <v>14</v>
      </c>
      <c r="E7" t="s">
        <v>43</v>
      </c>
      <c r="F7" s="19">
        <v>-1.342E-2</v>
      </c>
      <c r="G7" s="19">
        <v>0.15826999999999999</v>
      </c>
      <c r="H7" s="19">
        <v>0.4</v>
      </c>
      <c r="J7" s="13" t="s">
        <v>43</v>
      </c>
      <c r="M7" s="6"/>
      <c r="N7" s="6"/>
      <c r="O7" s="6"/>
    </row>
    <row r="8" spans="1:15" x14ac:dyDescent="0.25">
      <c r="A8" s="4" t="s">
        <v>16</v>
      </c>
      <c r="B8" s="14" t="s">
        <v>17</v>
      </c>
      <c r="C8" s="5"/>
      <c r="D8" t="s">
        <v>14</v>
      </c>
      <c r="E8" t="s">
        <v>43</v>
      </c>
      <c r="F8" s="11"/>
      <c r="G8" s="11"/>
      <c r="H8" s="20">
        <v>4.2000000000000003E-2</v>
      </c>
      <c r="J8" s="14" t="s">
        <v>43</v>
      </c>
    </row>
    <row r="9" spans="1:15" x14ac:dyDescent="0.25">
      <c r="A9" s="4"/>
      <c r="B9" s="14" t="s">
        <v>18</v>
      </c>
      <c r="C9" s="5"/>
      <c r="D9" t="s">
        <v>14</v>
      </c>
      <c r="E9" t="s">
        <v>43</v>
      </c>
      <c r="F9" s="11"/>
      <c r="G9" s="11"/>
      <c r="H9" s="20">
        <v>-3.7999999999999999E-2</v>
      </c>
      <c r="J9" s="14" t="s">
        <v>43</v>
      </c>
    </row>
    <row r="10" spans="1:15" x14ac:dyDescent="0.25">
      <c r="A10" s="4"/>
      <c r="B10" s="5" t="s">
        <v>19</v>
      </c>
      <c r="C10" s="5"/>
      <c r="D10" t="s">
        <v>20</v>
      </c>
      <c r="F10" s="11"/>
      <c r="G10" s="11"/>
      <c r="H10" s="12">
        <v>1000000</v>
      </c>
    </row>
    <row r="11" spans="1:15" x14ac:dyDescent="0.25">
      <c r="A11" s="4"/>
      <c r="B11" s="5" t="s">
        <v>21</v>
      </c>
      <c r="C11" s="5"/>
      <c r="D11" t="s">
        <v>20</v>
      </c>
      <c r="F11" s="11"/>
      <c r="G11" s="11"/>
      <c r="H11" s="12">
        <v>1000000</v>
      </c>
    </row>
    <row r="12" spans="1:15" x14ac:dyDescent="0.25">
      <c r="A12" s="4"/>
      <c r="B12" s="5" t="s">
        <v>22</v>
      </c>
      <c r="C12" s="5"/>
      <c r="D12" t="s">
        <v>20</v>
      </c>
      <c r="F12" s="11"/>
      <c r="G12" s="11"/>
      <c r="H12" s="12">
        <v>150</v>
      </c>
    </row>
    <row r="13" spans="1:15" x14ac:dyDescent="0.25">
      <c r="A13" s="4"/>
      <c r="B13" s="5" t="s">
        <v>23</v>
      </c>
      <c r="C13" s="5"/>
      <c r="D13" t="s">
        <v>20</v>
      </c>
      <c r="F13" s="11"/>
      <c r="G13" s="11"/>
      <c r="H13" s="12">
        <v>150</v>
      </c>
    </row>
    <row r="14" spans="1:15" x14ac:dyDescent="0.25">
      <c r="A14" s="4"/>
      <c r="B14" s="5" t="s">
        <v>24</v>
      </c>
      <c r="C14" s="5"/>
      <c r="D14" t="s">
        <v>14</v>
      </c>
      <c r="F14" s="11"/>
      <c r="G14" s="11"/>
      <c r="H14" s="12">
        <v>1E-4</v>
      </c>
    </row>
    <row r="15" spans="1:15" x14ac:dyDescent="0.25">
      <c r="B15" s="15"/>
      <c r="H15" s="16"/>
    </row>
    <row r="16" spans="1:15" x14ac:dyDescent="0.25">
      <c r="B16" s="15"/>
      <c r="H16" s="16"/>
    </row>
  </sheetData>
  <conditionalFormatting sqref="A4">
    <cfRule type="cellIs" dxfId="49" priority="2" operator="equal">
      <formula>"class"</formula>
    </cfRule>
  </conditionalFormatting>
  <conditionalFormatting sqref="A15:A16">
    <cfRule type="cellIs" dxfId="48" priority="3" operator="equal">
      <formula>"class"</formula>
    </cfRule>
  </conditionalFormatting>
  <conditionalFormatting sqref="A5:B14">
    <cfRule type="cellIs" dxfId="47" priority="4" operator="equal">
      <formula>"class"</formula>
    </cfRule>
  </conditionalFormatting>
  <conditionalFormatting sqref="B6:B7">
    <cfRule type="cellIs" dxfId="46" priority="1" operator="equal">
      <formula>"class"</formula>
    </cfRule>
  </conditionalFormatting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1E1D6D-5BA2-427B-BE2D-342E15C476C6}">
  <sheetPr>
    <tabColor theme="7" tint="0.79998168889431442"/>
  </sheetPr>
  <dimension ref="A1:O16"/>
  <sheetViews>
    <sheetView workbookViewId="0">
      <pane xSplit="3" ySplit="1" topLeftCell="D2" activePane="bottomRight" state="frozen"/>
      <selection activeCell="E6" sqref="E6:E9"/>
      <selection pane="topRight" activeCell="E6" sqref="E6:E9"/>
      <selection pane="bottomLeft" activeCell="E6" sqref="E6:E9"/>
      <selection pane="bottomRight" activeCell="J18" sqref="J18"/>
    </sheetView>
  </sheetViews>
  <sheetFormatPr defaultRowHeight="15" x14ac:dyDescent="0.25"/>
  <cols>
    <col min="1" max="1" width="14.42578125" style="15" customWidth="1"/>
    <col min="2" max="2" width="12.7109375" customWidth="1"/>
    <col min="3" max="3" width="15.7109375" customWidth="1"/>
    <col min="4" max="4" width="11.140625" customWidth="1"/>
    <col min="5" max="5" width="10.140625" bestFit="1" customWidth="1"/>
    <col min="6" max="8" width="10" customWidth="1"/>
    <col min="9" max="9" width="6.7109375" customWidth="1"/>
    <col min="10" max="10" width="38.5703125" bestFit="1" customWidth="1"/>
    <col min="11" max="15" width="6.7109375" customWidth="1"/>
  </cols>
  <sheetData>
    <row r="1" spans="1:15" x14ac:dyDescent="0.25">
      <c r="A1" s="1"/>
      <c r="B1" s="2"/>
      <c r="C1" s="3"/>
      <c r="D1" s="2" t="s">
        <v>0</v>
      </c>
      <c r="E1" s="2" t="s">
        <v>1</v>
      </c>
      <c r="F1" s="2" t="s">
        <v>2</v>
      </c>
      <c r="G1" s="2" t="s">
        <v>3</v>
      </c>
      <c r="H1" s="2" t="s">
        <v>4</v>
      </c>
    </row>
    <row r="2" spans="1:15" x14ac:dyDescent="0.25">
      <c r="A2" s="4" t="s">
        <v>5</v>
      </c>
      <c r="B2" s="5"/>
      <c r="C2" s="5"/>
      <c r="E2" s="6"/>
      <c r="F2" s="6"/>
      <c r="G2" s="6"/>
      <c r="H2" s="7" t="s">
        <v>6</v>
      </c>
    </row>
    <row r="3" spans="1:15" x14ac:dyDescent="0.25">
      <c r="A3" s="4" t="s">
        <v>7</v>
      </c>
      <c r="B3" s="5"/>
      <c r="C3" s="5"/>
      <c r="F3" s="6"/>
      <c r="G3" s="6"/>
      <c r="H3" s="7" t="s">
        <v>45</v>
      </c>
    </row>
    <row r="4" spans="1:15" x14ac:dyDescent="0.25">
      <c r="A4" s="8" t="s">
        <v>8</v>
      </c>
      <c r="B4" s="9"/>
      <c r="C4" s="9"/>
      <c r="D4" s="9"/>
      <c r="E4" s="9"/>
      <c r="F4" s="9"/>
      <c r="G4" s="9"/>
      <c r="H4" s="10" t="s">
        <v>9</v>
      </c>
    </row>
    <row r="5" spans="1:15" x14ac:dyDescent="0.25">
      <c r="A5" s="4" t="s">
        <v>10</v>
      </c>
      <c r="B5" s="5" t="s">
        <v>11</v>
      </c>
      <c r="C5" s="5"/>
      <c r="D5" t="s">
        <v>12</v>
      </c>
      <c r="F5" s="11"/>
      <c r="G5" s="11"/>
      <c r="H5" s="12">
        <v>5000</v>
      </c>
    </row>
    <row r="6" spans="1:15" x14ac:dyDescent="0.25">
      <c r="A6" s="4"/>
      <c r="B6" s="13" t="s">
        <v>13</v>
      </c>
      <c r="C6" s="5"/>
      <c r="D6" t="s">
        <v>14</v>
      </c>
      <c r="E6" t="s">
        <v>43</v>
      </c>
      <c r="F6" s="19">
        <v>0.22999</v>
      </c>
      <c r="G6" s="19">
        <v>0.22700000000000001</v>
      </c>
      <c r="H6" s="19">
        <v>0.4</v>
      </c>
      <c r="J6" s="13" t="s">
        <v>43</v>
      </c>
      <c r="M6" s="6"/>
      <c r="N6" s="6"/>
      <c r="O6" s="6"/>
    </row>
    <row r="7" spans="1:15" x14ac:dyDescent="0.25">
      <c r="A7" s="4"/>
      <c r="B7" s="13" t="s">
        <v>15</v>
      </c>
      <c r="C7" s="5"/>
      <c r="D7" t="s">
        <v>14</v>
      </c>
      <c r="E7" t="s">
        <v>43</v>
      </c>
      <c r="F7" s="19">
        <v>5.9749999999999998E-2</v>
      </c>
      <c r="G7" s="19">
        <v>0.26723000000000002</v>
      </c>
      <c r="H7" s="19">
        <v>0.4</v>
      </c>
      <c r="J7" s="13" t="s">
        <v>43</v>
      </c>
      <c r="M7" s="6"/>
      <c r="N7" s="6"/>
      <c r="O7" s="6"/>
    </row>
    <row r="8" spans="1:15" x14ac:dyDescent="0.25">
      <c r="A8" s="4" t="s">
        <v>16</v>
      </c>
      <c r="B8" s="14" t="s">
        <v>17</v>
      </c>
      <c r="C8" s="5"/>
      <c r="D8" t="s">
        <v>14</v>
      </c>
      <c r="E8" t="s">
        <v>43</v>
      </c>
      <c r="F8" s="11"/>
      <c r="G8" s="11"/>
      <c r="H8" s="20">
        <v>2.5000000000000001E-2</v>
      </c>
      <c r="J8" s="14" t="s">
        <v>43</v>
      </c>
    </row>
    <row r="9" spans="1:15" x14ac:dyDescent="0.25">
      <c r="A9" s="4"/>
      <c r="B9" s="14" t="s">
        <v>18</v>
      </c>
      <c r="C9" s="5"/>
      <c r="D9" t="s">
        <v>14</v>
      </c>
      <c r="E9" t="s">
        <v>43</v>
      </c>
      <c r="F9" s="11"/>
      <c r="G9" s="11"/>
      <c r="H9" s="20">
        <v>-4.4999999999999998E-2</v>
      </c>
      <c r="J9" s="14" t="s">
        <v>43</v>
      </c>
    </row>
    <row r="10" spans="1:15" x14ac:dyDescent="0.25">
      <c r="A10" s="4"/>
      <c r="B10" s="5" t="s">
        <v>19</v>
      </c>
      <c r="C10" s="5"/>
      <c r="D10" t="s">
        <v>20</v>
      </c>
      <c r="F10" s="11"/>
      <c r="G10" s="11"/>
      <c r="H10" s="12">
        <v>1000000</v>
      </c>
    </row>
    <row r="11" spans="1:15" x14ac:dyDescent="0.25">
      <c r="A11" s="4"/>
      <c r="B11" s="5" t="s">
        <v>21</v>
      </c>
      <c r="C11" s="5"/>
      <c r="D11" t="s">
        <v>20</v>
      </c>
      <c r="F11" s="11"/>
      <c r="G11" s="11"/>
      <c r="H11" s="12">
        <v>1000000</v>
      </c>
    </row>
    <row r="12" spans="1:15" x14ac:dyDescent="0.25">
      <c r="A12" s="4"/>
      <c r="B12" s="5" t="s">
        <v>22</v>
      </c>
      <c r="C12" s="5"/>
      <c r="D12" t="s">
        <v>20</v>
      </c>
      <c r="F12" s="11"/>
      <c r="G12" s="11"/>
      <c r="H12" s="12">
        <v>150</v>
      </c>
    </row>
    <row r="13" spans="1:15" x14ac:dyDescent="0.25">
      <c r="A13" s="4"/>
      <c r="B13" s="5" t="s">
        <v>23</v>
      </c>
      <c r="C13" s="5"/>
      <c r="D13" t="s">
        <v>20</v>
      </c>
      <c r="F13" s="11"/>
      <c r="G13" s="11"/>
      <c r="H13" s="12">
        <v>150</v>
      </c>
    </row>
    <row r="14" spans="1:15" x14ac:dyDescent="0.25">
      <c r="A14" s="4"/>
      <c r="B14" s="5" t="s">
        <v>24</v>
      </c>
      <c r="C14" s="5"/>
      <c r="D14" t="s">
        <v>14</v>
      </c>
      <c r="F14" s="11"/>
      <c r="G14" s="11"/>
      <c r="H14" s="12">
        <v>1E-4</v>
      </c>
    </row>
    <row r="15" spans="1:15" x14ac:dyDescent="0.25">
      <c r="B15" s="15"/>
      <c r="H15" s="16"/>
    </row>
    <row r="16" spans="1:15" x14ac:dyDescent="0.25">
      <c r="B16" s="15"/>
      <c r="H16" s="16"/>
    </row>
  </sheetData>
  <conditionalFormatting sqref="A4">
    <cfRule type="cellIs" dxfId="45" priority="2" operator="equal">
      <formula>"class"</formula>
    </cfRule>
  </conditionalFormatting>
  <conditionalFormatting sqref="A15:A16">
    <cfRule type="cellIs" dxfId="44" priority="3" operator="equal">
      <formula>"class"</formula>
    </cfRule>
  </conditionalFormatting>
  <conditionalFormatting sqref="A5:B14">
    <cfRule type="cellIs" dxfId="43" priority="4" operator="equal">
      <formula>"class"</formula>
    </cfRule>
  </conditionalFormatting>
  <conditionalFormatting sqref="B6:B7">
    <cfRule type="cellIs" dxfId="42" priority="1" operator="equal">
      <formula>"class"</formula>
    </cfRule>
  </conditionalFormatting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C003C0-2174-4FAC-921C-53CAD52A7556}">
  <sheetPr>
    <tabColor theme="7" tint="0.79998168889431442"/>
  </sheetPr>
  <dimension ref="A1:O16"/>
  <sheetViews>
    <sheetView workbookViewId="0">
      <pane xSplit="3" ySplit="1" topLeftCell="D2" activePane="bottomRight" state="frozen"/>
      <selection activeCell="E6" sqref="E6:E9"/>
      <selection pane="topRight" activeCell="E6" sqref="E6:E9"/>
      <selection pane="bottomLeft" activeCell="E6" sqref="E6:E9"/>
      <selection pane="bottomRight" activeCell="H6" sqref="H6"/>
    </sheetView>
  </sheetViews>
  <sheetFormatPr defaultRowHeight="15" x14ac:dyDescent="0.25"/>
  <cols>
    <col min="1" max="1" width="14.42578125" style="15" customWidth="1"/>
    <col min="2" max="2" width="12.7109375" customWidth="1"/>
    <col min="3" max="3" width="15.7109375" customWidth="1"/>
    <col min="4" max="4" width="11.140625" customWidth="1"/>
    <col min="5" max="5" width="10.140625" bestFit="1" customWidth="1"/>
    <col min="6" max="8" width="10" customWidth="1"/>
    <col min="9" max="9" width="6.7109375" customWidth="1"/>
    <col min="10" max="10" width="38.5703125" bestFit="1" customWidth="1"/>
    <col min="11" max="15" width="6.7109375" customWidth="1"/>
  </cols>
  <sheetData>
    <row r="1" spans="1:15" x14ac:dyDescent="0.25">
      <c r="A1" s="1"/>
      <c r="B1" s="2"/>
      <c r="C1" s="3"/>
      <c r="D1" s="2" t="s">
        <v>0</v>
      </c>
      <c r="E1" s="2" t="s">
        <v>1</v>
      </c>
      <c r="F1" s="2" t="s">
        <v>2</v>
      </c>
      <c r="G1" s="2" t="s">
        <v>3</v>
      </c>
      <c r="H1" s="2" t="s">
        <v>4</v>
      </c>
    </row>
    <row r="2" spans="1:15" x14ac:dyDescent="0.25">
      <c r="A2" s="4" t="s">
        <v>5</v>
      </c>
      <c r="B2" s="5"/>
      <c r="C2" s="5"/>
      <c r="E2" s="6"/>
      <c r="F2" s="6"/>
      <c r="G2" s="6"/>
      <c r="H2" s="7" t="s">
        <v>6</v>
      </c>
    </row>
    <row r="3" spans="1:15" x14ac:dyDescent="0.25">
      <c r="A3" s="4" t="s">
        <v>7</v>
      </c>
      <c r="B3" s="5"/>
      <c r="C3" s="5"/>
      <c r="F3" s="6"/>
      <c r="G3" s="6"/>
      <c r="H3" s="7" t="s">
        <v>40</v>
      </c>
    </row>
    <row r="4" spans="1:15" x14ac:dyDescent="0.25">
      <c r="A4" s="8" t="s">
        <v>8</v>
      </c>
      <c r="B4" s="9"/>
      <c r="C4" s="9"/>
      <c r="D4" s="9"/>
      <c r="E4" s="9"/>
      <c r="F4" s="9"/>
      <c r="G4" s="9"/>
      <c r="H4" s="10" t="s">
        <v>9</v>
      </c>
    </row>
    <row r="5" spans="1:15" x14ac:dyDescent="0.25">
      <c r="A5" s="4" t="s">
        <v>10</v>
      </c>
      <c r="B5" s="5" t="s">
        <v>11</v>
      </c>
      <c r="C5" s="5"/>
      <c r="D5" t="s">
        <v>12</v>
      </c>
      <c r="F5" s="11"/>
      <c r="G5" s="11"/>
      <c r="H5" s="12">
        <f>5000*5*2*5*3</f>
        <v>750000</v>
      </c>
    </row>
    <row r="6" spans="1:15" x14ac:dyDescent="0.25">
      <c r="A6" s="4"/>
      <c r="B6" s="13" t="s">
        <v>13</v>
      </c>
      <c r="C6" s="5"/>
      <c r="D6" t="s">
        <v>14</v>
      </c>
      <c r="E6" t="s">
        <v>43</v>
      </c>
      <c r="F6" s="19">
        <v>-0.03</v>
      </c>
      <c r="G6" s="19">
        <v>0.22</v>
      </c>
      <c r="H6" s="19">
        <v>0.28000000000000003</v>
      </c>
      <c r="J6" s="13" t="s">
        <v>43</v>
      </c>
      <c r="M6" s="6"/>
      <c r="N6" s="6"/>
      <c r="O6" s="6"/>
    </row>
    <row r="7" spans="1:15" x14ac:dyDescent="0.25">
      <c r="A7" s="4"/>
      <c r="B7" s="13" t="s">
        <v>15</v>
      </c>
      <c r="C7" s="5"/>
      <c r="D7" t="s">
        <v>14</v>
      </c>
      <c r="E7" t="s">
        <v>43</v>
      </c>
      <c r="F7" s="19">
        <v>-0.03</v>
      </c>
      <c r="G7" s="19">
        <v>0.25</v>
      </c>
      <c r="H7" s="19">
        <v>0.1</v>
      </c>
      <c r="J7" s="13" t="s">
        <v>43</v>
      </c>
      <c r="M7" s="6"/>
      <c r="N7" s="6"/>
      <c r="O7" s="6"/>
    </row>
    <row r="8" spans="1:15" x14ac:dyDescent="0.25">
      <c r="A8" s="4" t="s">
        <v>16</v>
      </c>
      <c r="B8" s="14" t="s">
        <v>17</v>
      </c>
      <c r="C8" s="5"/>
      <c r="D8" t="s">
        <v>14</v>
      </c>
      <c r="E8" t="s">
        <v>43</v>
      </c>
      <c r="F8" s="11"/>
      <c r="G8" s="11"/>
      <c r="H8" s="18">
        <v>0.03</v>
      </c>
      <c r="J8" s="14" t="s">
        <v>43</v>
      </c>
    </row>
    <row r="9" spans="1:15" x14ac:dyDescent="0.25">
      <c r="A9" s="4"/>
      <c r="B9" s="14" t="s">
        <v>18</v>
      </c>
      <c r="C9" s="5"/>
      <c r="D9" t="s">
        <v>14</v>
      </c>
      <c r="E9" t="s">
        <v>43</v>
      </c>
      <c r="F9" s="11"/>
      <c r="G9" s="11"/>
      <c r="H9" s="18">
        <v>-0.03</v>
      </c>
      <c r="J9" s="14" t="s">
        <v>43</v>
      </c>
    </row>
    <row r="10" spans="1:15" x14ac:dyDescent="0.25">
      <c r="A10" s="4"/>
      <c r="B10" s="5" t="s">
        <v>19</v>
      </c>
      <c r="C10" s="5"/>
      <c r="D10" t="s">
        <v>20</v>
      </c>
      <c r="F10" s="11"/>
      <c r="G10" s="11"/>
      <c r="H10" s="12">
        <v>1000000</v>
      </c>
    </row>
    <row r="11" spans="1:15" x14ac:dyDescent="0.25">
      <c r="A11" s="4"/>
      <c r="B11" s="5" t="s">
        <v>21</v>
      </c>
      <c r="C11" s="5"/>
      <c r="D11" t="s">
        <v>20</v>
      </c>
      <c r="F11" s="11"/>
      <c r="G11" s="11"/>
      <c r="H11" s="12">
        <v>1000000</v>
      </c>
    </row>
    <row r="12" spans="1:15" x14ac:dyDescent="0.25">
      <c r="A12" s="4"/>
      <c r="B12" s="5" t="s">
        <v>22</v>
      </c>
      <c r="C12" s="5"/>
      <c r="D12" t="s">
        <v>20</v>
      </c>
      <c r="F12" s="11"/>
      <c r="G12" s="11"/>
      <c r="H12" s="12">
        <v>150</v>
      </c>
    </row>
    <row r="13" spans="1:15" x14ac:dyDescent="0.25">
      <c r="A13" s="4"/>
      <c r="B13" s="5" t="s">
        <v>23</v>
      </c>
      <c r="C13" s="5"/>
      <c r="D13" t="s">
        <v>20</v>
      </c>
      <c r="F13" s="11"/>
      <c r="G13" s="11"/>
      <c r="H13" s="12">
        <v>150</v>
      </c>
    </row>
    <row r="14" spans="1:15" x14ac:dyDescent="0.25">
      <c r="A14" s="4"/>
      <c r="B14" s="5" t="s">
        <v>24</v>
      </c>
      <c r="C14" s="5"/>
      <c r="D14" t="s">
        <v>14</v>
      </c>
      <c r="F14" s="11"/>
      <c r="G14" s="11"/>
      <c r="H14" s="12">
        <v>1E-4</v>
      </c>
    </row>
    <row r="15" spans="1:15" x14ac:dyDescent="0.25">
      <c r="B15" s="15"/>
      <c r="H15" s="16"/>
    </row>
    <row r="16" spans="1:15" x14ac:dyDescent="0.25">
      <c r="B16" s="15"/>
      <c r="H16" s="16"/>
    </row>
  </sheetData>
  <conditionalFormatting sqref="A4">
    <cfRule type="cellIs" dxfId="41" priority="2" operator="equal">
      <formula>"class"</formula>
    </cfRule>
  </conditionalFormatting>
  <conditionalFormatting sqref="A15:A16">
    <cfRule type="cellIs" dxfId="40" priority="3" operator="equal">
      <formula>"class"</formula>
    </cfRule>
  </conditionalFormatting>
  <conditionalFormatting sqref="A5:B14">
    <cfRule type="cellIs" dxfId="39" priority="4" operator="equal">
      <formula>"class"</formula>
    </cfRule>
  </conditionalFormatting>
  <conditionalFormatting sqref="B6:B7">
    <cfRule type="cellIs" dxfId="38" priority="1" operator="equal">
      <formula>"class"</formula>
    </cfRule>
  </conditionalFormatting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123868B-3CD7-4B0C-8979-5AA15C1FB32F}">
  <sheetPr>
    <tabColor theme="7" tint="0.79998168889431442"/>
  </sheetPr>
  <dimension ref="A1:O16"/>
  <sheetViews>
    <sheetView workbookViewId="0">
      <pane xSplit="3" ySplit="1" topLeftCell="D2" activePane="bottomRight" state="frozen"/>
      <selection activeCell="E6" sqref="E6:E9"/>
      <selection pane="topRight" activeCell="E6" sqref="E6:E9"/>
      <selection pane="bottomLeft" activeCell="E6" sqref="E6:E9"/>
      <selection pane="bottomRight" activeCell="J15" sqref="J15"/>
    </sheetView>
  </sheetViews>
  <sheetFormatPr defaultRowHeight="15" x14ac:dyDescent="0.25"/>
  <cols>
    <col min="1" max="1" width="14.42578125" style="15" customWidth="1"/>
    <col min="2" max="2" width="12.7109375" customWidth="1"/>
    <col min="3" max="3" width="15.7109375" customWidth="1"/>
    <col min="4" max="4" width="11.140625" customWidth="1"/>
    <col min="5" max="5" width="10.140625" bestFit="1" customWidth="1"/>
    <col min="6" max="8" width="10" customWidth="1"/>
    <col min="9" max="9" width="6.7109375" customWidth="1"/>
    <col min="10" max="10" width="38.5703125" bestFit="1" customWidth="1"/>
    <col min="11" max="15" width="6.7109375" customWidth="1"/>
  </cols>
  <sheetData>
    <row r="1" spans="1:15" x14ac:dyDescent="0.25">
      <c r="A1" s="1"/>
      <c r="B1" s="2"/>
      <c r="C1" s="3"/>
      <c r="D1" s="2" t="s">
        <v>0</v>
      </c>
      <c r="E1" s="2" t="s">
        <v>1</v>
      </c>
      <c r="F1" s="2" t="s">
        <v>2</v>
      </c>
      <c r="G1" s="2" t="s">
        <v>3</v>
      </c>
      <c r="H1" s="2" t="s">
        <v>4</v>
      </c>
    </row>
    <row r="2" spans="1:15" x14ac:dyDescent="0.25">
      <c r="A2" s="4" t="s">
        <v>5</v>
      </c>
      <c r="B2" s="5"/>
      <c r="C2" s="5"/>
      <c r="E2" s="6"/>
      <c r="F2" s="6"/>
      <c r="G2" s="6"/>
      <c r="H2" s="7" t="s">
        <v>6</v>
      </c>
    </row>
    <row r="3" spans="1:15" x14ac:dyDescent="0.25">
      <c r="A3" s="4" t="s">
        <v>7</v>
      </c>
      <c r="B3" s="5"/>
      <c r="C3" s="5"/>
      <c r="F3" s="6"/>
      <c r="G3" s="6"/>
      <c r="H3" s="7" t="s">
        <v>41</v>
      </c>
    </row>
    <row r="4" spans="1:15" x14ac:dyDescent="0.25">
      <c r="A4" s="8" t="s">
        <v>8</v>
      </c>
      <c r="B4" s="9"/>
      <c r="C4" s="9"/>
      <c r="D4" s="9"/>
      <c r="E4" s="9"/>
      <c r="F4" s="9"/>
      <c r="G4" s="9"/>
      <c r="H4" s="10" t="s">
        <v>9</v>
      </c>
    </row>
    <row r="5" spans="1:15" x14ac:dyDescent="0.25">
      <c r="A5" s="4" t="s">
        <v>10</v>
      </c>
      <c r="B5" s="5" t="s">
        <v>11</v>
      </c>
      <c r="C5" s="5"/>
      <c r="D5" t="s">
        <v>12</v>
      </c>
      <c r="F5" s="11"/>
      <c r="G5" s="11"/>
      <c r="H5" s="12">
        <f>5000*5*2*5*3</f>
        <v>750000</v>
      </c>
    </row>
    <row r="6" spans="1:15" x14ac:dyDescent="0.25">
      <c r="A6" s="4"/>
      <c r="B6" s="13" t="s">
        <v>13</v>
      </c>
      <c r="C6" s="5"/>
      <c r="D6" t="s">
        <v>14</v>
      </c>
      <c r="E6" t="s">
        <v>43</v>
      </c>
      <c r="F6" s="17">
        <v>0.12</v>
      </c>
      <c r="G6" s="19">
        <v>0.22</v>
      </c>
      <c r="H6" s="19">
        <v>0.28000000000000003</v>
      </c>
      <c r="J6" s="13" t="s">
        <v>43</v>
      </c>
      <c r="M6" s="6"/>
      <c r="N6" s="6"/>
      <c r="O6" s="6"/>
    </row>
    <row r="7" spans="1:15" x14ac:dyDescent="0.25">
      <c r="A7" s="4"/>
      <c r="B7" s="13" t="s">
        <v>15</v>
      </c>
      <c r="C7" s="5"/>
      <c r="D7" t="s">
        <v>14</v>
      </c>
      <c r="E7" t="s">
        <v>43</v>
      </c>
      <c r="F7" s="17">
        <v>0.12</v>
      </c>
      <c r="G7" s="19">
        <v>0.25</v>
      </c>
      <c r="H7" s="19">
        <v>0.1</v>
      </c>
      <c r="J7" s="13" t="s">
        <v>43</v>
      </c>
      <c r="M7" s="6"/>
      <c r="N7" s="6"/>
      <c r="O7" s="6"/>
    </row>
    <row r="8" spans="1:15" x14ac:dyDescent="0.25">
      <c r="A8" s="4" t="s">
        <v>16</v>
      </c>
      <c r="B8" s="14" t="s">
        <v>17</v>
      </c>
      <c r="C8" s="5"/>
      <c r="D8" t="s">
        <v>14</v>
      </c>
      <c r="E8" t="s">
        <v>43</v>
      </c>
      <c r="F8" s="11"/>
      <c r="G8" s="11"/>
      <c r="H8" s="18">
        <v>0.03</v>
      </c>
      <c r="J8" s="14" t="s">
        <v>43</v>
      </c>
    </row>
    <row r="9" spans="1:15" x14ac:dyDescent="0.25">
      <c r="A9" s="4"/>
      <c r="B9" s="14" t="s">
        <v>18</v>
      </c>
      <c r="C9" s="5"/>
      <c r="D9" t="s">
        <v>14</v>
      </c>
      <c r="E9" t="s">
        <v>43</v>
      </c>
      <c r="F9" s="11"/>
      <c r="G9" s="11"/>
      <c r="H9" s="18">
        <v>-0.03</v>
      </c>
      <c r="J9" s="14" t="s">
        <v>43</v>
      </c>
    </row>
    <row r="10" spans="1:15" x14ac:dyDescent="0.25">
      <c r="A10" s="4"/>
      <c r="B10" s="5" t="s">
        <v>19</v>
      </c>
      <c r="C10" s="5"/>
      <c r="D10" t="s">
        <v>20</v>
      </c>
      <c r="F10" s="11"/>
      <c r="G10" s="11"/>
      <c r="H10" s="12">
        <v>1000000</v>
      </c>
    </row>
    <row r="11" spans="1:15" x14ac:dyDescent="0.25">
      <c r="A11" s="4"/>
      <c r="B11" s="5" t="s">
        <v>21</v>
      </c>
      <c r="C11" s="5"/>
      <c r="D11" t="s">
        <v>20</v>
      </c>
      <c r="F11" s="11"/>
      <c r="G11" s="11"/>
      <c r="H11" s="12">
        <v>1000000</v>
      </c>
    </row>
    <row r="12" spans="1:15" x14ac:dyDescent="0.25">
      <c r="A12" s="4"/>
      <c r="B12" s="5" t="s">
        <v>22</v>
      </c>
      <c r="C12" s="5"/>
      <c r="D12" t="s">
        <v>20</v>
      </c>
      <c r="F12" s="11"/>
      <c r="G12" s="11"/>
      <c r="H12" s="12">
        <v>150</v>
      </c>
    </row>
    <row r="13" spans="1:15" x14ac:dyDescent="0.25">
      <c r="A13" s="4"/>
      <c r="B13" s="5" t="s">
        <v>23</v>
      </c>
      <c r="C13" s="5"/>
      <c r="D13" t="s">
        <v>20</v>
      </c>
      <c r="F13" s="11"/>
      <c r="G13" s="11"/>
      <c r="H13" s="12">
        <v>150</v>
      </c>
    </row>
    <row r="14" spans="1:15" x14ac:dyDescent="0.25">
      <c r="A14" s="4"/>
      <c r="B14" s="5" t="s">
        <v>24</v>
      </c>
      <c r="C14" s="5"/>
      <c r="D14" t="s">
        <v>14</v>
      </c>
      <c r="F14" s="11"/>
      <c r="G14" s="11"/>
      <c r="H14" s="12">
        <v>1E-4</v>
      </c>
    </row>
    <row r="15" spans="1:15" x14ac:dyDescent="0.25">
      <c r="B15" s="15"/>
      <c r="H15" s="16"/>
    </row>
    <row r="16" spans="1:15" x14ac:dyDescent="0.25">
      <c r="B16" s="15"/>
      <c r="H16" s="16"/>
    </row>
  </sheetData>
  <conditionalFormatting sqref="A4">
    <cfRule type="cellIs" dxfId="37" priority="2" operator="equal">
      <formula>"class"</formula>
    </cfRule>
  </conditionalFormatting>
  <conditionalFormatting sqref="A15:A16">
    <cfRule type="cellIs" dxfId="36" priority="3" operator="equal">
      <formula>"class"</formula>
    </cfRule>
  </conditionalFormatting>
  <conditionalFormatting sqref="A5:B14">
    <cfRule type="cellIs" dxfId="35" priority="4" operator="equal">
      <formula>"class"</formula>
    </cfRule>
  </conditionalFormatting>
  <conditionalFormatting sqref="B6:B7">
    <cfRule type="cellIs" dxfId="34" priority="1" operator="equal">
      <formula>"class"</formula>
    </cfRule>
  </conditionalFormatting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422437-DD08-4914-9D5A-D939D2B8635C}">
  <sheetPr>
    <tabColor theme="7" tint="0.79998168889431442"/>
  </sheetPr>
  <dimension ref="A1:J16"/>
  <sheetViews>
    <sheetView workbookViewId="0">
      <pane xSplit="3" ySplit="1" topLeftCell="D2" activePane="bottomRight" state="frozen"/>
      <selection activeCell="O13" sqref="O13"/>
      <selection pane="topRight" activeCell="O13" sqref="O13"/>
      <selection pane="bottomLeft" activeCell="O13" sqref="O13"/>
      <selection pane="bottomRight" activeCell="E6" sqref="E6:E9"/>
    </sheetView>
  </sheetViews>
  <sheetFormatPr defaultRowHeight="15" x14ac:dyDescent="0.25"/>
  <cols>
    <col min="1" max="1" width="14.42578125" style="15" customWidth="1"/>
    <col min="2" max="2" width="12.7109375" customWidth="1"/>
    <col min="3" max="3" width="15.7109375" customWidth="1"/>
    <col min="4" max="4" width="11.140625" customWidth="1"/>
    <col min="5" max="5" width="10.140625" bestFit="1" customWidth="1"/>
    <col min="6" max="8" width="10" customWidth="1"/>
    <col min="9" max="9" width="6.7109375" customWidth="1"/>
    <col min="10" max="10" width="38.5703125" bestFit="1" customWidth="1"/>
    <col min="11" max="15" width="6.7109375" customWidth="1"/>
  </cols>
  <sheetData>
    <row r="1" spans="1:10" x14ac:dyDescent="0.25">
      <c r="A1" s="1"/>
      <c r="B1" s="2"/>
      <c r="C1" s="3"/>
      <c r="D1" s="2" t="s">
        <v>0</v>
      </c>
      <c r="E1" s="2" t="s">
        <v>1</v>
      </c>
      <c r="F1" s="2" t="s">
        <v>2</v>
      </c>
      <c r="G1" s="2" t="s">
        <v>3</v>
      </c>
      <c r="H1" s="2" t="s">
        <v>4</v>
      </c>
    </row>
    <row r="2" spans="1:10" x14ac:dyDescent="0.25">
      <c r="A2" s="4" t="s">
        <v>5</v>
      </c>
      <c r="B2" s="5"/>
      <c r="C2" s="5"/>
      <c r="E2" s="6"/>
      <c r="F2" s="6"/>
      <c r="G2" s="6"/>
      <c r="H2" s="7" t="s">
        <v>6</v>
      </c>
    </row>
    <row r="3" spans="1:10" x14ac:dyDescent="0.25">
      <c r="A3" s="4" t="s">
        <v>7</v>
      </c>
      <c r="B3" s="5"/>
      <c r="C3" s="5"/>
      <c r="F3" s="6"/>
      <c r="G3" s="6"/>
      <c r="H3" s="7" t="s">
        <v>25</v>
      </c>
    </row>
    <row r="4" spans="1:10" x14ac:dyDescent="0.25">
      <c r="A4" s="4" t="s">
        <v>8</v>
      </c>
      <c r="B4" s="9"/>
      <c r="C4" s="9"/>
      <c r="D4" s="9"/>
      <c r="E4" s="9"/>
      <c r="F4" s="9"/>
      <c r="G4" s="9"/>
      <c r="H4" s="10" t="s">
        <v>9</v>
      </c>
    </row>
    <row r="5" spans="1:10" x14ac:dyDescent="0.25">
      <c r="A5" s="4" t="s">
        <v>10</v>
      </c>
      <c r="B5" s="5" t="s">
        <v>11</v>
      </c>
      <c r="C5" s="5"/>
      <c r="D5" t="s">
        <v>12</v>
      </c>
      <c r="F5" s="11"/>
      <c r="G5" s="11"/>
      <c r="H5" s="12">
        <v>5000</v>
      </c>
    </row>
    <row r="6" spans="1:10" x14ac:dyDescent="0.25">
      <c r="A6" s="4"/>
      <c r="B6" s="13" t="s">
        <v>13</v>
      </c>
      <c r="C6" s="5"/>
      <c r="D6" t="s">
        <v>14</v>
      </c>
      <c r="E6" t="s">
        <v>43</v>
      </c>
      <c r="F6" s="17">
        <v>0.1</v>
      </c>
      <c r="G6" s="17">
        <v>0.44000000000000006</v>
      </c>
      <c r="H6" s="17">
        <v>0.8</v>
      </c>
      <c r="J6" s="13" t="s">
        <v>43</v>
      </c>
    </row>
    <row r="7" spans="1:10" x14ac:dyDescent="0.25">
      <c r="A7" s="4"/>
      <c r="B7" s="13" t="s">
        <v>15</v>
      </c>
      <c r="C7" s="5"/>
      <c r="D7" t="s">
        <v>14</v>
      </c>
      <c r="E7" t="s">
        <v>43</v>
      </c>
      <c r="F7" s="17">
        <v>0.1</v>
      </c>
      <c r="G7" s="17">
        <v>0.54</v>
      </c>
      <c r="H7" s="17">
        <v>0.19999999999999998</v>
      </c>
      <c r="J7" s="13" t="s">
        <v>43</v>
      </c>
    </row>
    <row r="8" spans="1:10" x14ac:dyDescent="0.25">
      <c r="A8" s="4" t="s">
        <v>16</v>
      </c>
      <c r="B8" s="14" t="s">
        <v>17</v>
      </c>
      <c r="C8" s="5"/>
      <c r="D8" t="s">
        <v>14</v>
      </c>
      <c r="E8" t="s">
        <v>43</v>
      </c>
      <c r="F8" s="11"/>
      <c r="G8" s="11"/>
      <c r="H8" s="18">
        <v>0.1</v>
      </c>
      <c r="J8" s="14" t="s">
        <v>43</v>
      </c>
    </row>
    <row r="9" spans="1:10" x14ac:dyDescent="0.25">
      <c r="A9" s="4"/>
      <c r="B9" s="14" t="s">
        <v>18</v>
      </c>
      <c r="C9" s="5"/>
      <c r="D9" t="s">
        <v>14</v>
      </c>
      <c r="E9" t="s">
        <v>43</v>
      </c>
      <c r="F9" s="11"/>
      <c r="G9" s="11"/>
      <c r="H9" s="18">
        <v>-0.15</v>
      </c>
      <c r="J9" s="14" t="s">
        <v>43</v>
      </c>
    </row>
    <row r="10" spans="1:10" x14ac:dyDescent="0.25">
      <c r="A10" s="4"/>
      <c r="B10" s="5" t="s">
        <v>19</v>
      </c>
      <c r="C10" s="5"/>
      <c r="D10" t="s">
        <v>20</v>
      </c>
      <c r="F10" s="11"/>
      <c r="G10" s="11"/>
      <c r="H10" s="12">
        <v>1000000</v>
      </c>
    </row>
    <row r="11" spans="1:10" x14ac:dyDescent="0.25">
      <c r="A11" s="4"/>
      <c r="B11" s="5" t="s">
        <v>21</v>
      </c>
      <c r="C11" s="5"/>
      <c r="D11" t="s">
        <v>20</v>
      </c>
      <c r="F11" s="11"/>
      <c r="G11" s="11"/>
      <c r="H11" s="12">
        <v>1000000</v>
      </c>
    </row>
    <row r="12" spans="1:10" x14ac:dyDescent="0.25">
      <c r="A12" s="4"/>
      <c r="B12" s="5" t="s">
        <v>22</v>
      </c>
      <c r="C12" s="5"/>
      <c r="D12" t="s">
        <v>20</v>
      </c>
      <c r="F12" s="11"/>
      <c r="G12" s="11"/>
      <c r="H12" s="12">
        <v>150</v>
      </c>
    </row>
    <row r="13" spans="1:10" x14ac:dyDescent="0.25">
      <c r="A13" s="4"/>
      <c r="B13" s="5" t="s">
        <v>23</v>
      </c>
      <c r="C13" s="5"/>
      <c r="D13" t="s">
        <v>20</v>
      </c>
      <c r="F13" s="11"/>
      <c r="G13" s="11"/>
      <c r="H13" s="12">
        <v>150</v>
      </c>
    </row>
    <row r="14" spans="1:10" x14ac:dyDescent="0.25">
      <c r="A14" s="4"/>
      <c r="B14" s="5" t="s">
        <v>24</v>
      </c>
      <c r="C14" s="5"/>
      <c r="D14" t="s">
        <v>14</v>
      </c>
      <c r="F14" s="11"/>
      <c r="G14" s="11"/>
      <c r="H14" s="12">
        <v>1E-4</v>
      </c>
    </row>
    <row r="15" spans="1:10" x14ac:dyDescent="0.25">
      <c r="B15" s="15"/>
      <c r="H15" s="16"/>
    </row>
    <row r="16" spans="1:10" x14ac:dyDescent="0.25">
      <c r="B16" s="15"/>
      <c r="H16" s="16"/>
    </row>
  </sheetData>
  <conditionalFormatting sqref="A4">
    <cfRule type="cellIs" dxfId="33" priority="2" operator="equal">
      <formula>"class"</formula>
    </cfRule>
  </conditionalFormatting>
  <conditionalFormatting sqref="A15:A16">
    <cfRule type="cellIs" dxfId="32" priority="4" operator="equal">
      <formula>"class"</formula>
    </cfRule>
  </conditionalFormatting>
  <conditionalFormatting sqref="A5:B14">
    <cfRule type="cellIs" dxfId="31" priority="1" operator="equal">
      <formula>"class"</formula>
    </cfRule>
  </conditionalFormatting>
  <conditionalFormatting sqref="B6:B7">
    <cfRule type="cellIs" dxfId="30" priority="6" operator="equal">
      <formula>"class"</formula>
    </cfRule>
  </conditionalFormatting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E9CAC4-CF0E-4DF1-8E00-9630BD30D17F}">
  <sheetPr>
    <tabColor theme="7" tint="0.79998168889431442"/>
  </sheetPr>
  <dimension ref="A1:J16"/>
  <sheetViews>
    <sheetView workbookViewId="0">
      <pane xSplit="3" ySplit="1" topLeftCell="D2" activePane="bottomRight" state="frozen"/>
      <selection activeCell="O13" sqref="O13"/>
      <selection pane="topRight" activeCell="O13" sqref="O13"/>
      <selection pane="bottomLeft" activeCell="O13" sqref="O13"/>
      <selection pane="bottomRight" activeCell="E6" sqref="E6:E9"/>
    </sheetView>
  </sheetViews>
  <sheetFormatPr defaultRowHeight="15" x14ac:dyDescent="0.25"/>
  <cols>
    <col min="1" max="1" width="14.42578125" style="15" customWidth="1"/>
    <col min="2" max="2" width="12.7109375" customWidth="1"/>
    <col min="3" max="3" width="15.7109375" customWidth="1"/>
    <col min="4" max="4" width="11.140625" customWidth="1"/>
    <col min="5" max="5" width="10.140625" bestFit="1" customWidth="1"/>
    <col min="6" max="8" width="10" customWidth="1"/>
    <col min="9" max="9" width="6.7109375" customWidth="1"/>
    <col min="10" max="10" width="38.5703125" bestFit="1" customWidth="1"/>
    <col min="11" max="15" width="6.7109375" customWidth="1"/>
  </cols>
  <sheetData>
    <row r="1" spans="1:10" x14ac:dyDescent="0.25">
      <c r="A1" s="1"/>
      <c r="B1" s="2"/>
      <c r="C1" s="3"/>
      <c r="D1" s="2" t="s">
        <v>0</v>
      </c>
      <c r="E1" s="2" t="s">
        <v>1</v>
      </c>
      <c r="F1" s="2" t="s">
        <v>2</v>
      </c>
      <c r="G1" s="2" t="s">
        <v>3</v>
      </c>
      <c r="H1" s="2" t="s">
        <v>4</v>
      </c>
    </row>
    <row r="2" spans="1:10" x14ac:dyDescent="0.25">
      <c r="A2" s="4" t="s">
        <v>5</v>
      </c>
      <c r="B2" s="5"/>
      <c r="C2" s="5"/>
      <c r="E2" s="6"/>
      <c r="F2" s="6"/>
      <c r="G2" s="6"/>
      <c r="H2" s="7" t="s">
        <v>6</v>
      </c>
    </row>
    <row r="3" spans="1:10" x14ac:dyDescent="0.25">
      <c r="A3" s="4" t="s">
        <v>7</v>
      </c>
      <c r="B3" s="5"/>
      <c r="C3" s="5"/>
      <c r="F3" s="6"/>
      <c r="G3" s="6"/>
      <c r="H3" s="7" t="s">
        <v>42</v>
      </c>
    </row>
    <row r="4" spans="1:10" x14ac:dyDescent="0.25">
      <c r="A4" s="4" t="s">
        <v>8</v>
      </c>
      <c r="B4" s="9"/>
      <c r="C4" s="9"/>
      <c r="D4" s="9"/>
      <c r="E4" s="9"/>
      <c r="F4" s="9"/>
      <c r="G4" s="9"/>
      <c r="H4" s="10" t="s">
        <v>9</v>
      </c>
    </row>
    <row r="5" spans="1:10" x14ac:dyDescent="0.25">
      <c r="A5" s="4" t="s">
        <v>10</v>
      </c>
      <c r="B5" s="5" t="s">
        <v>11</v>
      </c>
      <c r="C5" s="5"/>
      <c r="D5" t="s">
        <v>12</v>
      </c>
      <c r="F5" s="11"/>
      <c r="G5" s="11"/>
      <c r="H5" s="12">
        <v>5000</v>
      </c>
    </row>
    <row r="6" spans="1:10" x14ac:dyDescent="0.25">
      <c r="A6" s="4"/>
      <c r="B6" s="13" t="s">
        <v>13</v>
      </c>
      <c r="C6" s="5"/>
      <c r="D6" t="s">
        <v>14</v>
      </c>
      <c r="E6" t="s">
        <v>43</v>
      </c>
      <c r="F6" s="17">
        <v>0</v>
      </c>
      <c r="G6" s="17">
        <v>0.68</v>
      </c>
      <c r="H6" s="17">
        <v>0.8</v>
      </c>
      <c r="J6" s="13" t="s">
        <v>43</v>
      </c>
    </row>
    <row r="7" spans="1:10" x14ac:dyDescent="0.25">
      <c r="A7" s="4"/>
      <c r="B7" s="13" t="s">
        <v>15</v>
      </c>
      <c r="C7" s="5"/>
      <c r="D7" t="s">
        <v>14</v>
      </c>
      <c r="E7" t="s">
        <v>43</v>
      </c>
      <c r="F7" s="17">
        <v>0</v>
      </c>
      <c r="G7" s="17">
        <v>0.7</v>
      </c>
      <c r="H7" s="17">
        <v>0.26</v>
      </c>
      <c r="J7" s="13" t="s">
        <v>43</v>
      </c>
    </row>
    <row r="8" spans="1:10" x14ac:dyDescent="0.25">
      <c r="A8" s="4" t="s">
        <v>16</v>
      </c>
      <c r="B8" s="14" t="s">
        <v>17</v>
      </c>
      <c r="C8" s="5"/>
      <c r="D8" t="s">
        <v>14</v>
      </c>
      <c r="E8" t="s">
        <v>43</v>
      </c>
      <c r="F8" s="11"/>
      <c r="G8" s="11"/>
      <c r="H8" s="18">
        <v>0.1</v>
      </c>
      <c r="J8" s="14" t="s">
        <v>43</v>
      </c>
    </row>
    <row r="9" spans="1:10" x14ac:dyDescent="0.25">
      <c r="A9" s="4"/>
      <c r="B9" s="14" t="s">
        <v>18</v>
      </c>
      <c r="C9" s="5"/>
      <c r="D9" t="s">
        <v>14</v>
      </c>
      <c r="E9" t="s">
        <v>43</v>
      </c>
      <c r="F9" s="11"/>
      <c r="G9" s="11"/>
      <c r="H9" s="18">
        <v>-0.15</v>
      </c>
      <c r="J9" s="14" t="s">
        <v>43</v>
      </c>
    </row>
    <row r="10" spans="1:10" x14ac:dyDescent="0.25">
      <c r="A10" s="4"/>
      <c r="B10" s="5" t="s">
        <v>19</v>
      </c>
      <c r="C10" s="5"/>
      <c r="D10" t="s">
        <v>20</v>
      </c>
      <c r="F10" s="11"/>
      <c r="G10" s="11"/>
      <c r="H10" s="12">
        <v>1000000</v>
      </c>
    </row>
    <row r="11" spans="1:10" x14ac:dyDescent="0.25">
      <c r="A11" s="4"/>
      <c r="B11" s="5" t="s">
        <v>21</v>
      </c>
      <c r="C11" s="5"/>
      <c r="D11" t="s">
        <v>20</v>
      </c>
      <c r="F11" s="11"/>
      <c r="G11" s="11"/>
      <c r="H11" s="12">
        <v>1000000</v>
      </c>
    </row>
    <row r="12" spans="1:10" x14ac:dyDescent="0.25">
      <c r="A12" s="4"/>
      <c r="B12" s="5" t="s">
        <v>22</v>
      </c>
      <c r="C12" s="5"/>
      <c r="D12" t="s">
        <v>20</v>
      </c>
      <c r="F12" s="11"/>
      <c r="G12" s="11"/>
      <c r="H12" s="12">
        <v>150</v>
      </c>
    </row>
    <row r="13" spans="1:10" x14ac:dyDescent="0.25">
      <c r="A13" s="4"/>
      <c r="B13" s="5" t="s">
        <v>23</v>
      </c>
      <c r="C13" s="5"/>
      <c r="D13" t="s">
        <v>20</v>
      </c>
      <c r="F13" s="11"/>
      <c r="G13" s="11"/>
      <c r="H13" s="12">
        <v>150</v>
      </c>
    </row>
    <row r="14" spans="1:10" x14ac:dyDescent="0.25">
      <c r="A14" s="4"/>
      <c r="B14" s="5" t="s">
        <v>24</v>
      </c>
      <c r="C14" s="5"/>
      <c r="D14" t="s">
        <v>14</v>
      </c>
      <c r="F14" s="11"/>
      <c r="G14" s="11"/>
      <c r="H14" s="12">
        <v>1E-4</v>
      </c>
    </row>
    <row r="15" spans="1:10" x14ac:dyDescent="0.25">
      <c r="B15" s="15"/>
      <c r="H15" s="16"/>
    </row>
    <row r="16" spans="1:10" x14ac:dyDescent="0.25">
      <c r="B16" s="15"/>
      <c r="H16" s="16"/>
    </row>
  </sheetData>
  <conditionalFormatting sqref="A4">
    <cfRule type="cellIs" dxfId="29" priority="2" operator="equal">
      <formula>"class"</formula>
    </cfRule>
  </conditionalFormatting>
  <conditionalFormatting sqref="A15:A16">
    <cfRule type="cellIs" dxfId="28" priority="3" operator="equal">
      <formula>"class"</formula>
    </cfRule>
  </conditionalFormatting>
  <conditionalFormatting sqref="A5:B14">
    <cfRule type="cellIs" dxfId="27" priority="1" operator="equal">
      <formula>"class"</formula>
    </cfRule>
  </conditionalFormatting>
  <conditionalFormatting sqref="B6:B7">
    <cfRule type="cellIs" dxfId="26" priority="4" operator="equal">
      <formula>"class"</formula>
    </cfRule>
  </conditionalFormatting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8F6BA7-CA71-43F3-B6EB-63B4345EED12}">
  <sheetPr>
    <tabColor theme="8" tint="-0.249977111117893"/>
  </sheetPr>
  <dimension ref="A1:J16"/>
  <sheetViews>
    <sheetView workbookViewId="0">
      <pane xSplit="3" ySplit="1" topLeftCell="D2" activePane="bottomRight" state="frozen"/>
      <selection activeCell="J6" sqref="J6"/>
      <selection pane="topRight" activeCell="J6" sqref="J6"/>
      <selection pane="bottomLeft" activeCell="J6" sqref="J6"/>
      <selection pane="bottomRight" activeCell="E6" sqref="E6:E9"/>
    </sheetView>
  </sheetViews>
  <sheetFormatPr defaultRowHeight="15" x14ac:dyDescent="0.25"/>
  <cols>
    <col min="1" max="1" width="14.42578125" style="15" customWidth="1"/>
    <col min="2" max="2" width="12.7109375" customWidth="1"/>
    <col min="3" max="3" width="15.7109375" customWidth="1"/>
    <col min="4" max="4" width="11.140625" customWidth="1"/>
    <col min="5" max="5" width="10.140625" bestFit="1" customWidth="1"/>
    <col min="6" max="8" width="10" customWidth="1"/>
    <col min="9" max="9" width="6.7109375" customWidth="1"/>
    <col min="10" max="10" width="38.5703125" bestFit="1" customWidth="1"/>
    <col min="11" max="15" width="6.7109375" customWidth="1"/>
  </cols>
  <sheetData>
    <row r="1" spans="1:10" x14ac:dyDescent="0.25">
      <c r="A1" s="1"/>
      <c r="B1" s="2"/>
      <c r="C1" s="3"/>
      <c r="D1" s="2" t="s">
        <v>0</v>
      </c>
      <c r="E1" s="2" t="s">
        <v>1</v>
      </c>
      <c r="F1" s="2" t="s">
        <v>2</v>
      </c>
      <c r="G1" s="2" t="s">
        <v>3</v>
      </c>
      <c r="H1" s="2" t="s">
        <v>4</v>
      </c>
    </row>
    <row r="2" spans="1:10" x14ac:dyDescent="0.25">
      <c r="A2" s="4" t="s">
        <v>5</v>
      </c>
      <c r="B2" s="5"/>
      <c r="C2" s="5"/>
      <c r="E2" s="6"/>
      <c r="F2" s="6"/>
      <c r="G2" s="6"/>
      <c r="H2" s="7" t="s">
        <v>6</v>
      </c>
    </row>
    <row r="3" spans="1:10" x14ac:dyDescent="0.25">
      <c r="A3" s="4" t="s">
        <v>7</v>
      </c>
      <c r="B3" s="5"/>
      <c r="C3" s="5"/>
      <c r="F3" s="6"/>
      <c r="G3" s="6"/>
      <c r="H3" s="7" t="s">
        <v>32</v>
      </c>
    </row>
    <row r="4" spans="1:10" x14ac:dyDescent="0.25">
      <c r="A4" s="8" t="s">
        <v>8</v>
      </c>
      <c r="B4" s="9"/>
      <c r="C4" s="9"/>
      <c r="D4" s="9"/>
      <c r="E4" s="9"/>
      <c r="F4" s="9"/>
      <c r="G4" s="9"/>
      <c r="H4" s="10" t="s">
        <v>9</v>
      </c>
    </row>
    <row r="5" spans="1:10" x14ac:dyDescent="0.25">
      <c r="A5" s="4" t="s">
        <v>10</v>
      </c>
      <c r="B5" s="5" t="s">
        <v>11</v>
      </c>
      <c r="C5" s="5"/>
      <c r="D5" t="s">
        <v>12</v>
      </c>
      <c r="F5" s="11"/>
      <c r="G5" s="11"/>
      <c r="H5" s="12">
        <v>20000</v>
      </c>
    </row>
    <row r="6" spans="1:10" x14ac:dyDescent="0.25">
      <c r="A6" s="4"/>
      <c r="B6" s="13" t="s">
        <v>13</v>
      </c>
      <c r="C6" s="5"/>
      <c r="D6" t="s">
        <v>14</v>
      </c>
      <c r="E6" t="s">
        <v>43</v>
      </c>
      <c r="F6" s="17">
        <f>-0.0022+0.02</f>
        <v>1.78E-2</v>
      </c>
      <c r="G6" s="17">
        <v>0.68</v>
      </c>
      <c r="H6" s="17">
        <v>0.73380000000000001</v>
      </c>
      <c r="J6" s="13" t="s">
        <v>43</v>
      </c>
    </row>
    <row r="7" spans="1:10" x14ac:dyDescent="0.25">
      <c r="A7" s="4"/>
      <c r="B7" s="13" t="s">
        <v>15</v>
      </c>
      <c r="C7" s="5"/>
      <c r="D7" t="s">
        <v>14</v>
      </c>
      <c r="E7" t="s">
        <v>43</v>
      </c>
      <c r="F7" s="17">
        <f>0.0457+0.02</f>
        <v>6.5699999999999995E-2</v>
      </c>
      <c r="G7" s="17">
        <v>0.74</v>
      </c>
      <c r="H7" s="17">
        <v>0.28999999999999998</v>
      </c>
      <c r="J7" s="13" t="s">
        <v>43</v>
      </c>
    </row>
    <row r="8" spans="1:10" x14ac:dyDescent="0.25">
      <c r="A8" s="4" t="s">
        <v>16</v>
      </c>
      <c r="B8" s="14" t="s">
        <v>17</v>
      </c>
      <c r="C8" s="5"/>
      <c r="D8" t="s">
        <v>14</v>
      </c>
      <c r="E8" t="s">
        <v>43</v>
      </c>
      <c r="F8" s="11"/>
      <c r="G8" s="11"/>
      <c r="H8" s="18">
        <v>0.1</v>
      </c>
      <c r="J8" s="14" t="s">
        <v>43</v>
      </c>
    </row>
    <row r="9" spans="1:10" x14ac:dyDescent="0.25">
      <c r="A9" s="4"/>
      <c r="B9" s="14" t="s">
        <v>18</v>
      </c>
      <c r="C9" s="5"/>
      <c r="D9" t="s">
        <v>14</v>
      </c>
      <c r="E9" t="s">
        <v>43</v>
      </c>
      <c r="F9" s="11"/>
      <c r="G9" s="11"/>
      <c r="H9" s="18">
        <v>-0.1</v>
      </c>
      <c r="J9" s="14" t="s">
        <v>43</v>
      </c>
    </row>
    <row r="10" spans="1:10" x14ac:dyDescent="0.25">
      <c r="A10" s="4"/>
      <c r="B10" s="5" t="s">
        <v>19</v>
      </c>
      <c r="C10" s="5"/>
      <c r="D10" t="s">
        <v>20</v>
      </c>
      <c r="F10" s="11"/>
      <c r="G10" s="11"/>
      <c r="H10" s="12">
        <v>1000000</v>
      </c>
    </row>
    <row r="11" spans="1:10" x14ac:dyDescent="0.25">
      <c r="A11" s="4"/>
      <c r="B11" s="5" t="s">
        <v>21</v>
      </c>
      <c r="C11" s="5"/>
      <c r="D11" t="s">
        <v>20</v>
      </c>
      <c r="F11" s="11"/>
      <c r="G11" s="11"/>
      <c r="H11" s="12">
        <v>1000000</v>
      </c>
    </row>
    <row r="12" spans="1:10" x14ac:dyDescent="0.25">
      <c r="A12" s="4"/>
      <c r="B12" s="5" t="s">
        <v>22</v>
      </c>
      <c r="C12" s="5"/>
      <c r="D12" t="s">
        <v>20</v>
      </c>
      <c r="F12" s="11"/>
      <c r="G12" s="11"/>
      <c r="H12" s="12">
        <v>150</v>
      </c>
    </row>
    <row r="13" spans="1:10" x14ac:dyDescent="0.25">
      <c r="A13" s="4"/>
      <c r="B13" s="5" t="s">
        <v>23</v>
      </c>
      <c r="C13" s="5"/>
      <c r="D13" t="s">
        <v>20</v>
      </c>
      <c r="F13" s="11"/>
      <c r="G13" s="11"/>
      <c r="H13" s="12">
        <v>150</v>
      </c>
    </row>
    <row r="14" spans="1:10" x14ac:dyDescent="0.25">
      <c r="A14" s="4"/>
      <c r="B14" s="5" t="s">
        <v>24</v>
      </c>
      <c r="C14" s="5"/>
      <c r="D14" t="s">
        <v>14</v>
      </c>
      <c r="F14" s="11"/>
      <c r="G14" s="11"/>
      <c r="H14" s="12">
        <v>1E-4</v>
      </c>
    </row>
    <row r="15" spans="1:10" x14ac:dyDescent="0.25">
      <c r="B15" s="15"/>
      <c r="H15" s="16"/>
    </row>
    <row r="16" spans="1:10" x14ac:dyDescent="0.25">
      <c r="B16" s="15"/>
      <c r="H16" s="16"/>
    </row>
  </sheetData>
  <conditionalFormatting sqref="A4">
    <cfRule type="cellIs" dxfId="25" priority="2" operator="equal">
      <formula>"class"</formula>
    </cfRule>
  </conditionalFormatting>
  <conditionalFormatting sqref="A15:A16">
    <cfRule type="cellIs" dxfId="24" priority="3" operator="equal">
      <formula>"class"</formula>
    </cfRule>
  </conditionalFormatting>
  <conditionalFormatting sqref="A5:B14">
    <cfRule type="cellIs" dxfId="23" priority="5" operator="equal">
      <formula>"class"</formula>
    </cfRule>
  </conditionalFormatting>
  <conditionalFormatting sqref="B6:B7">
    <cfRule type="cellIs" dxfId="22" priority="1" operator="equal">
      <formula>"class"</formula>
    </cfRule>
  </conditionalFormatting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B004B0-3819-4EDB-9CF7-B5A9725EA714}">
  <sheetPr>
    <tabColor theme="8" tint="-0.249977111117893"/>
  </sheetPr>
  <dimension ref="A1:J16"/>
  <sheetViews>
    <sheetView workbookViewId="0">
      <pane xSplit="3" ySplit="1" topLeftCell="D2" activePane="bottomRight" state="frozen"/>
      <selection activeCell="E6" sqref="E6:E9"/>
      <selection pane="topRight" activeCell="E6" sqref="E6:E9"/>
      <selection pane="bottomLeft" activeCell="E6" sqref="E6:E9"/>
      <selection pane="bottomRight" activeCell="E6" sqref="E6:E9"/>
    </sheetView>
  </sheetViews>
  <sheetFormatPr defaultRowHeight="15" x14ac:dyDescent="0.25"/>
  <cols>
    <col min="1" max="1" width="14.42578125" style="15" customWidth="1"/>
    <col min="2" max="2" width="12.7109375" customWidth="1"/>
    <col min="3" max="3" width="15.7109375" customWidth="1"/>
    <col min="4" max="4" width="11.140625" customWidth="1"/>
    <col min="5" max="5" width="10.140625" bestFit="1" customWidth="1"/>
    <col min="6" max="8" width="10" customWidth="1"/>
    <col min="9" max="9" width="6.7109375" customWidth="1"/>
    <col min="10" max="10" width="38.5703125" bestFit="1" customWidth="1"/>
    <col min="11" max="15" width="6.7109375" customWidth="1"/>
  </cols>
  <sheetData>
    <row r="1" spans="1:10" x14ac:dyDescent="0.25">
      <c r="A1" s="1"/>
      <c r="B1" s="2"/>
      <c r="C1" s="3"/>
      <c r="D1" s="2" t="s">
        <v>0</v>
      </c>
      <c r="E1" s="2" t="s">
        <v>1</v>
      </c>
      <c r="F1" s="2" t="s">
        <v>2</v>
      </c>
      <c r="G1" s="2" t="s">
        <v>3</v>
      </c>
      <c r="H1" s="2" t="s">
        <v>4</v>
      </c>
    </row>
    <row r="2" spans="1:10" x14ac:dyDescent="0.25">
      <c r="A2" s="4" t="s">
        <v>5</v>
      </c>
      <c r="B2" s="5"/>
      <c r="C2" s="5"/>
      <c r="E2" s="6"/>
      <c r="F2" s="6"/>
      <c r="G2" s="6"/>
      <c r="H2" s="7" t="s">
        <v>6</v>
      </c>
    </row>
    <row r="3" spans="1:10" x14ac:dyDescent="0.25">
      <c r="A3" s="4" t="s">
        <v>7</v>
      </c>
      <c r="B3" s="5"/>
      <c r="C3" s="5"/>
      <c r="F3" s="6"/>
      <c r="G3" s="6"/>
      <c r="H3" s="7" t="s">
        <v>33</v>
      </c>
    </row>
    <row r="4" spans="1:10" x14ac:dyDescent="0.25">
      <c r="A4" s="4" t="s">
        <v>8</v>
      </c>
      <c r="B4" s="9"/>
      <c r="C4" s="9"/>
      <c r="D4" s="9"/>
      <c r="E4" s="9"/>
      <c r="F4" s="9"/>
      <c r="G4" s="9"/>
      <c r="H4" s="10" t="s">
        <v>9</v>
      </c>
    </row>
    <row r="5" spans="1:10" x14ac:dyDescent="0.25">
      <c r="A5" s="4" t="s">
        <v>10</v>
      </c>
      <c r="B5" s="5" t="s">
        <v>11</v>
      </c>
      <c r="C5" s="5"/>
      <c r="D5" t="s">
        <v>12</v>
      </c>
      <c r="F5" s="11"/>
      <c r="G5" s="11"/>
      <c r="H5" s="12">
        <v>20000</v>
      </c>
    </row>
    <row r="6" spans="1:10" x14ac:dyDescent="0.25">
      <c r="A6" s="4"/>
      <c r="B6" s="13" t="s">
        <v>13</v>
      </c>
      <c r="C6" s="5"/>
      <c r="D6" t="s">
        <v>14</v>
      </c>
      <c r="E6" t="s">
        <v>43</v>
      </c>
      <c r="F6" s="17">
        <f>-0.07</f>
        <v>-7.0000000000000007E-2</v>
      </c>
      <c r="G6" s="17">
        <v>0.62</v>
      </c>
      <c r="H6" s="17">
        <v>0.73650000000000015</v>
      </c>
      <c r="J6" s="13" t="s">
        <v>43</v>
      </c>
    </row>
    <row r="7" spans="1:10" x14ac:dyDescent="0.25">
      <c r="A7" s="4"/>
      <c r="B7" s="13" t="s">
        <v>15</v>
      </c>
      <c r="C7" s="5"/>
      <c r="D7" t="s">
        <v>14</v>
      </c>
      <c r="E7" t="s">
        <v>43</v>
      </c>
      <c r="F7" s="17">
        <f>-0.0013-0.05</f>
        <v>-5.1300000000000005E-2</v>
      </c>
      <c r="G7" s="17">
        <v>0.68</v>
      </c>
      <c r="H7" s="17">
        <v>0.26040000000000008</v>
      </c>
      <c r="J7" s="13" t="s">
        <v>43</v>
      </c>
    </row>
    <row r="8" spans="1:10" x14ac:dyDescent="0.25">
      <c r="A8" s="4" t="s">
        <v>16</v>
      </c>
      <c r="B8" s="14" t="s">
        <v>17</v>
      </c>
      <c r="C8" s="5"/>
      <c r="D8" t="s">
        <v>14</v>
      </c>
      <c r="E8" t="s">
        <v>43</v>
      </c>
      <c r="F8" s="11"/>
      <c r="G8" s="11"/>
      <c r="H8" s="18">
        <v>0.1</v>
      </c>
      <c r="J8" s="14" t="s">
        <v>43</v>
      </c>
    </row>
    <row r="9" spans="1:10" x14ac:dyDescent="0.25">
      <c r="A9" s="4"/>
      <c r="B9" s="14" t="s">
        <v>18</v>
      </c>
      <c r="C9" s="5"/>
      <c r="D9" t="s">
        <v>14</v>
      </c>
      <c r="E9" t="s">
        <v>43</v>
      </c>
      <c r="F9" s="11"/>
      <c r="G9" s="11"/>
      <c r="H9" s="18">
        <v>-0.1</v>
      </c>
      <c r="J9" s="14" t="s">
        <v>43</v>
      </c>
    </row>
    <row r="10" spans="1:10" x14ac:dyDescent="0.25">
      <c r="A10" s="4"/>
      <c r="B10" s="5" t="s">
        <v>19</v>
      </c>
      <c r="C10" s="5"/>
      <c r="D10" t="s">
        <v>20</v>
      </c>
      <c r="F10" s="11"/>
      <c r="G10" s="11"/>
      <c r="H10" s="12">
        <v>1000000</v>
      </c>
    </row>
    <row r="11" spans="1:10" x14ac:dyDescent="0.25">
      <c r="A11" s="4"/>
      <c r="B11" s="5" t="s">
        <v>21</v>
      </c>
      <c r="C11" s="5"/>
      <c r="D11" t="s">
        <v>20</v>
      </c>
      <c r="F11" s="11"/>
      <c r="G11" s="11"/>
      <c r="H11" s="12">
        <v>1000000</v>
      </c>
    </row>
    <row r="12" spans="1:10" x14ac:dyDescent="0.25">
      <c r="A12" s="4"/>
      <c r="B12" s="5" t="s">
        <v>22</v>
      </c>
      <c r="C12" s="5"/>
      <c r="D12" t="s">
        <v>20</v>
      </c>
      <c r="F12" s="11"/>
      <c r="G12" s="11"/>
      <c r="H12" s="12">
        <v>150</v>
      </c>
    </row>
    <row r="13" spans="1:10" x14ac:dyDescent="0.25">
      <c r="A13" s="4"/>
      <c r="B13" s="5" t="s">
        <v>23</v>
      </c>
      <c r="C13" s="5"/>
      <c r="D13" t="s">
        <v>20</v>
      </c>
      <c r="F13" s="11"/>
      <c r="G13" s="11"/>
      <c r="H13" s="12">
        <v>150</v>
      </c>
    </row>
    <row r="14" spans="1:10" x14ac:dyDescent="0.25">
      <c r="A14" s="4"/>
      <c r="B14" s="5" t="s">
        <v>24</v>
      </c>
      <c r="C14" s="5"/>
      <c r="D14" t="s">
        <v>14</v>
      </c>
      <c r="F14" s="11"/>
      <c r="G14" s="11"/>
      <c r="H14" s="12">
        <v>1E-4</v>
      </c>
    </row>
    <row r="15" spans="1:10" x14ac:dyDescent="0.25">
      <c r="B15" s="15"/>
      <c r="H15" s="16"/>
    </row>
    <row r="16" spans="1:10" x14ac:dyDescent="0.25">
      <c r="B16" s="15"/>
      <c r="H16" s="16"/>
    </row>
  </sheetData>
  <conditionalFormatting sqref="A4">
    <cfRule type="cellIs" dxfId="21" priority="2" operator="equal">
      <formula>"class"</formula>
    </cfRule>
  </conditionalFormatting>
  <conditionalFormatting sqref="A15:A16">
    <cfRule type="cellIs" dxfId="20" priority="4" operator="equal">
      <formula>"class"</formula>
    </cfRule>
  </conditionalFormatting>
  <conditionalFormatting sqref="A5:B14">
    <cfRule type="cellIs" dxfId="19" priority="1" operator="equal">
      <formula>"class"</formula>
    </cfRule>
  </conditionalFormatting>
  <conditionalFormatting sqref="B6:B7">
    <cfRule type="cellIs" dxfId="18" priority="6" operator="equal">
      <formula>"class"</formula>
    </cfRule>
  </conditionalFormatting>
  <pageMargins left="0.7" right="0.7" top="0.75" bottom="0.75" header="0.3" footer="0.3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4D744F-CF11-46CE-8654-1C704A9B9737}">
  <sheetPr>
    <tabColor theme="8" tint="-0.249977111117893"/>
  </sheetPr>
  <dimension ref="A1:J16"/>
  <sheetViews>
    <sheetView workbookViewId="0">
      <pane xSplit="3" ySplit="1" topLeftCell="D2" activePane="bottomRight" state="frozen"/>
      <selection activeCell="E6" sqref="E6:E9"/>
      <selection pane="topRight" activeCell="E6" sqref="E6:E9"/>
      <selection pane="bottomLeft" activeCell="E6" sqref="E6:E9"/>
      <selection pane="bottomRight" activeCell="E6" sqref="E6:E9"/>
    </sheetView>
  </sheetViews>
  <sheetFormatPr defaultRowHeight="15" x14ac:dyDescent="0.25"/>
  <cols>
    <col min="1" max="1" width="14.42578125" style="15" customWidth="1"/>
    <col min="2" max="2" width="12.7109375" customWidth="1"/>
    <col min="3" max="3" width="15.7109375" customWidth="1"/>
    <col min="4" max="4" width="11.140625" customWidth="1"/>
    <col min="5" max="5" width="10.140625" bestFit="1" customWidth="1"/>
    <col min="6" max="8" width="10" customWidth="1"/>
    <col min="9" max="9" width="6.7109375" customWidth="1"/>
    <col min="10" max="10" width="38.5703125" bestFit="1" customWidth="1"/>
    <col min="11" max="15" width="6.7109375" customWidth="1"/>
  </cols>
  <sheetData>
    <row r="1" spans="1:10" x14ac:dyDescent="0.25">
      <c r="A1" s="1"/>
      <c r="B1" s="2"/>
      <c r="C1" s="3"/>
      <c r="D1" s="2" t="s">
        <v>0</v>
      </c>
      <c r="E1" s="2" t="s">
        <v>1</v>
      </c>
      <c r="F1" s="2" t="s">
        <v>2</v>
      </c>
      <c r="G1" s="2" t="s">
        <v>3</v>
      </c>
      <c r="H1" s="2" t="s">
        <v>4</v>
      </c>
    </row>
    <row r="2" spans="1:10" x14ac:dyDescent="0.25">
      <c r="A2" s="4" t="s">
        <v>5</v>
      </c>
      <c r="B2" s="5"/>
      <c r="C2" s="5"/>
      <c r="E2" s="6"/>
      <c r="F2" s="6"/>
      <c r="G2" s="6"/>
      <c r="H2" s="7" t="s">
        <v>6</v>
      </c>
    </row>
    <row r="3" spans="1:10" x14ac:dyDescent="0.25">
      <c r="A3" s="4" t="s">
        <v>7</v>
      </c>
      <c r="B3" s="5"/>
      <c r="C3" s="5"/>
      <c r="F3" s="6"/>
      <c r="G3" s="6"/>
      <c r="H3" s="7" t="s">
        <v>36</v>
      </c>
    </row>
    <row r="4" spans="1:10" x14ac:dyDescent="0.25">
      <c r="A4" s="4" t="s">
        <v>8</v>
      </c>
      <c r="B4" s="9"/>
      <c r="C4" s="9"/>
      <c r="D4" s="9"/>
      <c r="E4" s="9"/>
      <c r="F4" s="9"/>
      <c r="G4" s="9"/>
      <c r="H4" s="10" t="s">
        <v>9</v>
      </c>
    </row>
    <row r="5" spans="1:10" x14ac:dyDescent="0.25">
      <c r="A5" s="4" t="s">
        <v>10</v>
      </c>
      <c r="B5" s="5" t="s">
        <v>11</v>
      </c>
      <c r="C5" s="5"/>
      <c r="D5" t="s">
        <v>12</v>
      </c>
      <c r="F5" s="11"/>
      <c r="G5" s="11"/>
      <c r="H5" s="12">
        <v>10000</v>
      </c>
    </row>
    <row r="6" spans="1:10" x14ac:dyDescent="0.25">
      <c r="A6" s="4"/>
      <c r="B6" s="13" t="s">
        <v>13</v>
      </c>
      <c r="C6" s="5"/>
      <c r="D6" t="s">
        <v>14</v>
      </c>
      <c r="E6" t="s">
        <v>43</v>
      </c>
      <c r="F6" s="17">
        <f>-0.07</f>
        <v>-7.0000000000000007E-2</v>
      </c>
      <c r="G6" s="17">
        <v>0.62</v>
      </c>
      <c r="H6" s="17">
        <v>0.73650000000000015</v>
      </c>
      <c r="J6" s="13" t="s">
        <v>43</v>
      </c>
    </row>
    <row r="7" spans="1:10" x14ac:dyDescent="0.25">
      <c r="A7" s="4"/>
      <c r="B7" s="13" t="s">
        <v>15</v>
      </c>
      <c r="C7" s="5"/>
      <c r="D7" t="s">
        <v>14</v>
      </c>
      <c r="E7" t="s">
        <v>43</v>
      </c>
      <c r="F7" s="17">
        <f>-0.0013-0.05</f>
        <v>-5.1300000000000005E-2</v>
      </c>
      <c r="G7" s="17">
        <v>0.68</v>
      </c>
      <c r="H7" s="17">
        <v>0.26040000000000008</v>
      </c>
      <c r="J7" s="13" t="s">
        <v>43</v>
      </c>
    </row>
    <row r="8" spans="1:10" x14ac:dyDescent="0.25">
      <c r="A8" s="4" t="s">
        <v>16</v>
      </c>
      <c r="B8" s="14" t="s">
        <v>17</v>
      </c>
      <c r="C8" s="5"/>
      <c r="D8" t="s">
        <v>14</v>
      </c>
      <c r="E8" t="s">
        <v>43</v>
      </c>
      <c r="F8" s="11"/>
      <c r="G8" s="11"/>
      <c r="H8" s="18">
        <v>0.1</v>
      </c>
      <c r="J8" s="14" t="s">
        <v>43</v>
      </c>
    </row>
    <row r="9" spans="1:10" x14ac:dyDescent="0.25">
      <c r="A9" s="4"/>
      <c r="B9" s="14" t="s">
        <v>18</v>
      </c>
      <c r="C9" s="5"/>
      <c r="D9" t="s">
        <v>14</v>
      </c>
      <c r="E9" t="s">
        <v>43</v>
      </c>
      <c r="F9" s="11"/>
      <c r="G9" s="11"/>
      <c r="H9" s="18">
        <v>-0.1</v>
      </c>
      <c r="J9" s="14" t="s">
        <v>43</v>
      </c>
    </row>
    <row r="10" spans="1:10" x14ac:dyDescent="0.25">
      <c r="A10" s="4"/>
      <c r="B10" s="5" t="s">
        <v>19</v>
      </c>
      <c r="C10" s="5"/>
      <c r="D10" t="s">
        <v>20</v>
      </c>
      <c r="F10" s="11"/>
      <c r="G10" s="11"/>
      <c r="H10" s="12">
        <v>1000000</v>
      </c>
    </row>
    <row r="11" spans="1:10" x14ac:dyDescent="0.25">
      <c r="A11" s="4"/>
      <c r="B11" s="5" t="s">
        <v>21</v>
      </c>
      <c r="C11" s="5"/>
      <c r="D11" t="s">
        <v>20</v>
      </c>
      <c r="F11" s="11"/>
      <c r="G11" s="11"/>
      <c r="H11" s="12">
        <v>1000000</v>
      </c>
    </row>
    <row r="12" spans="1:10" x14ac:dyDescent="0.25">
      <c r="A12" s="4"/>
      <c r="B12" s="5" t="s">
        <v>22</v>
      </c>
      <c r="C12" s="5"/>
      <c r="D12" t="s">
        <v>20</v>
      </c>
      <c r="F12" s="11"/>
      <c r="G12" s="11"/>
      <c r="H12" s="12">
        <v>150</v>
      </c>
    </row>
    <row r="13" spans="1:10" x14ac:dyDescent="0.25">
      <c r="A13" s="4"/>
      <c r="B13" s="5" t="s">
        <v>23</v>
      </c>
      <c r="C13" s="5"/>
      <c r="D13" t="s">
        <v>20</v>
      </c>
      <c r="F13" s="11"/>
      <c r="G13" s="11"/>
      <c r="H13" s="12">
        <v>150</v>
      </c>
    </row>
    <row r="14" spans="1:10" x14ac:dyDescent="0.25">
      <c r="A14" s="4"/>
      <c r="B14" s="5" t="s">
        <v>24</v>
      </c>
      <c r="C14" s="5"/>
      <c r="D14" t="s">
        <v>14</v>
      </c>
      <c r="F14" s="11"/>
      <c r="G14" s="11"/>
      <c r="H14" s="12">
        <v>1E-4</v>
      </c>
    </row>
    <row r="15" spans="1:10" x14ac:dyDescent="0.25">
      <c r="B15" s="15"/>
      <c r="H15" s="16"/>
    </row>
    <row r="16" spans="1:10" x14ac:dyDescent="0.25">
      <c r="B16" s="15"/>
      <c r="H16" s="16"/>
    </row>
  </sheetData>
  <conditionalFormatting sqref="A4">
    <cfRule type="cellIs" dxfId="17" priority="2" operator="equal">
      <formula>"class"</formula>
    </cfRule>
  </conditionalFormatting>
  <conditionalFormatting sqref="A15:A16">
    <cfRule type="cellIs" dxfId="16" priority="4" operator="equal">
      <formula>"class"</formula>
    </cfRule>
  </conditionalFormatting>
  <conditionalFormatting sqref="A5:B14">
    <cfRule type="cellIs" dxfId="15" priority="1" operator="equal">
      <formula>"class"</formula>
    </cfRule>
  </conditionalFormatting>
  <conditionalFormatting sqref="B6:B7">
    <cfRule type="cellIs" dxfId="14" priority="6" operator="equal">
      <formula>"class"</formula>
    </cfRule>
  </conditionalFormatting>
  <pageMargins left="0.7" right="0.7" top="0.75" bottom="0.75" header="0.3" footer="0.3"/>
  <pageSetup paperSize="9" orientation="portrait" horizontalDpi="90" verticalDpi="90" r:id="rId1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4C47AE-1E73-4D0F-9DD2-355985429647}">
  <sheetPr>
    <tabColor theme="8" tint="-0.249977111117893"/>
  </sheetPr>
  <dimension ref="A1:J16"/>
  <sheetViews>
    <sheetView workbookViewId="0">
      <pane xSplit="3" ySplit="1" topLeftCell="D2" activePane="bottomRight" state="frozen"/>
      <selection activeCell="E6" sqref="E6:E9"/>
      <selection pane="topRight" activeCell="E6" sqref="E6:E9"/>
      <selection pane="bottomLeft" activeCell="E6" sqref="E6:E9"/>
      <selection pane="bottomRight" activeCell="E6" sqref="E6:E9"/>
    </sheetView>
  </sheetViews>
  <sheetFormatPr defaultRowHeight="15" x14ac:dyDescent="0.25"/>
  <cols>
    <col min="1" max="1" width="14.42578125" style="15" customWidth="1"/>
    <col min="2" max="2" width="12.7109375" customWidth="1"/>
    <col min="3" max="3" width="15.7109375" customWidth="1"/>
    <col min="4" max="4" width="11.140625" customWidth="1"/>
    <col min="5" max="5" width="10.140625" bestFit="1" customWidth="1"/>
    <col min="6" max="8" width="10" customWidth="1"/>
    <col min="9" max="9" width="6.7109375" customWidth="1"/>
    <col min="10" max="10" width="38.5703125" bestFit="1" customWidth="1"/>
    <col min="11" max="15" width="6.7109375" customWidth="1"/>
  </cols>
  <sheetData>
    <row r="1" spans="1:10" x14ac:dyDescent="0.25">
      <c r="A1" s="1"/>
      <c r="B1" s="2"/>
      <c r="C1" s="3"/>
      <c r="D1" s="2" t="s">
        <v>0</v>
      </c>
      <c r="E1" s="2" t="s">
        <v>1</v>
      </c>
      <c r="F1" s="2" t="s">
        <v>2</v>
      </c>
      <c r="G1" s="2" t="s">
        <v>3</v>
      </c>
      <c r="H1" s="2" t="s">
        <v>4</v>
      </c>
    </row>
    <row r="2" spans="1:10" x14ac:dyDescent="0.25">
      <c r="A2" s="4" t="s">
        <v>5</v>
      </c>
      <c r="B2" s="5"/>
      <c r="C2" s="5"/>
      <c r="E2" s="6"/>
      <c r="F2" s="6"/>
      <c r="G2" s="6"/>
      <c r="H2" s="7" t="s">
        <v>6</v>
      </c>
    </row>
    <row r="3" spans="1:10" x14ac:dyDescent="0.25">
      <c r="A3" s="4" t="s">
        <v>7</v>
      </c>
      <c r="B3" s="5"/>
      <c r="C3" s="5"/>
      <c r="F3" s="6"/>
      <c r="G3" s="6"/>
      <c r="H3" s="7" t="s">
        <v>37</v>
      </c>
    </row>
    <row r="4" spans="1:10" x14ac:dyDescent="0.25">
      <c r="A4" s="4" t="s">
        <v>8</v>
      </c>
      <c r="B4" s="9"/>
      <c r="C4" s="9"/>
      <c r="D4" s="9"/>
      <c r="E4" s="9"/>
      <c r="F4" s="9"/>
      <c r="G4" s="9"/>
      <c r="H4" s="10" t="s">
        <v>9</v>
      </c>
    </row>
    <row r="5" spans="1:10" x14ac:dyDescent="0.25">
      <c r="A5" s="4" t="s">
        <v>10</v>
      </c>
      <c r="B5" s="5" t="s">
        <v>11</v>
      </c>
      <c r="C5" s="5"/>
      <c r="D5" t="s">
        <v>12</v>
      </c>
      <c r="F5" s="11"/>
      <c r="G5" s="11"/>
      <c r="H5" s="12">
        <v>10000</v>
      </c>
    </row>
    <row r="6" spans="1:10" x14ac:dyDescent="0.25">
      <c r="A6" s="4"/>
      <c r="B6" s="13" t="s">
        <v>13</v>
      </c>
      <c r="C6" s="5"/>
      <c r="D6" t="s">
        <v>14</v>
      </c>
      <c r="E6" t="s">
        <v>43</v>
      </c>
      <c r="F6" s="17">
        <f>-0.07</f>
        <v>-7.0000000000000007E-2</v>
      </c>
      <c r="G6" s="17">
        <v>0.62</v>
      </c>
      <c r="H6" s="17">
        <v>0.73650000000000015</v>
      </c>
      <c r="J6" s="13" t="s">
        <v>43</v>
      </c>
    </row>
    <row r="7" spans="1:10" x14ac:dyDescent="0.25">
      <c r="A7" s="4"/>
      <c r="B7" s="13" t="s">
        <v>15</v>
      </c>
      <c r="C7" s="5"/>
      <c r="D7" t="s">
        <v>14</v>
      </c>
      <c r="E7" t="s">
        <v>43</v>
      </c>
      <c r="F7" s="17">
        <f>-0.0013-0.05</f>
        <v>-5.1300000000000005E-2</v>
      </c>
      <c r="G7" s="17">
        <v>0.68</v>
      </c>
      <c r="H7" s="17">
        <v>0.26040000000000008</v>
      </c>
      <c r="J7" s="13" t="s">
        <v>43</v>
      </c>
    </row>
    <row r="8" spans="1:10" x14ac:dyDescent="0.25">
      <c r="A8" s="4" t="s">
        <v>16</v>
      </c>
      <c r="B8" s="14" t="s">
        <v>17</v>
      </c>
      <c r="C8" s="5"/>
      <c r="D8" t="s">
        <v>14</v>
      </c>
      <c r="E8" t="s">
        <v>43</v>
      </c>
      <c r="F8" s="11"/>
      <c r="G8" s="11"/>
      <c r="H8" s="18">
        <v>0.1</v>
      </c>
      <c r="J8" s="14" t="s">
        <v>43</v>
      </c>
    </row>
    <row r="9" spans="1:10" x14ac:dyDescent="0.25">
      <c r="A9" s="4"/>
      <c r="B9" s="14" t="s">
        <v>18</v>
      </c>
      <c r="C9" s="5"/>
      <c r="D9" t="s">
        <v>14</v>
      </c>
      <c r="E9" t="s">
        <v>43</v>
      </c>
      <c r="F9" s="11"/>
      <c r="G9" s="11"/>
      <c r="H9" s="18">
        <v>-0.1</v>
      </c>
      <c r="J9" s="14" t="s">
        <v>43</v>
      </c>
    </row>
    <row r="10" spans="1:10" x14ac:dyDescent="0.25">
      <c r="A10" s="4"/>
      <c r="B10" s="5" t="s">
        <v>19</v>
      </c>
      <c r="C10" s="5"/>
      <c r="D10" t="s">
        <v>20</v>
      </c>
      <c r="F10" s="11"/>
      <c r="G10" s="11"/>
      <c r="H10" s="12">
        <v>1000000</v>
      </c>
    </row>
    <row r="11" spans="1:10" x14ac:dyDescent="0.25">
      <c r="A11" s="4"/>
      <c r="B11" s="5" t="s">
        <v>21</v>
      </c>
      <c r="C11" s="5"/>
      <c r="D11" t="s">
        <v>20</v>
      </c>
      <c r="F11" s="11"/>
      <c r="G11" s="11"/>
      <c r="H11" s="12">
        <v>1000000</v>
      </c>
    </row>
    <row r="12" spans="1:10" x14ac:dyDescent="0.25">
      <c r="A12" s="4"/>
      <c r="B12" s="5" t="s">
        <v>22</v>
      </c>
      <c r="C12" s="5"/>
      <c r="D12" t="s">
        <v>20</v>
      </c>
      <c r="F12" s="11"/>
      <c r="G12" s="11"/>
      <c r="H12" s="12">
        <v>150</v>
      </c>
    </row>
    <row r="13" spans="1:10" x14ac:dyDescent="0.25">
      <c r="A13" s="4"/>
      <c r="B13" s="5" t="s">
        <v>23</v>
      </c>
      <c r="C13" s="5"/>
      <c r="D13" t="s">
        <v>20</v>
      </c>
      <c r="F13" s="11"/>
      <c r="G13" s="11"/>
      <c r="H13" s="12">
        <v>150</v>
      </c>
    </row>
    <row r="14" spans="1:10" x14ac:dyDescent="0.25">
      <c r="A14" s="4"/>
      <c r="B14" s="5" t="s">
        <v>24</v>
      </c>
      <c r="C14" s="5"/>
      <c r="D14" t="s">
        <v>14</v>
      </c>
      <c r="F14" s="11"/>
      <c r="G14" s="11"/>
      <c r="H14" s="12">
        <v>1E-4</v>
      </c>
    </row>
    <row r="15" spans="1:10" x14ac:dyDescent="0.25">
      <c r="B15" s="15"/>
      <c r="H15" s="16"/>
    </row>
    <row r="16" spans="1:10" x14ac:dyDescent="0.25">
      <c r="B16" s="15"/>
      <c r="H16" s="16"/>
    </row>
  </sheetData>
  <conditionalFormatting sqref="A4">
    <cfRule type="cellIs" dxfId="13" priority="2" operator="equal">
      <formula>"class"</formula>
    </cfRule>
  </conditionalFormatting>
  <conditionalFormatting sqref="A15:A16">
    <cfRule type="cellIs" dxfId="12" priority="4" operator="equal">
      <formula>"class"</formula>
    </cfRule>
  </conditionalFormatting>
  <conditionalFormatting sqref="A5:B14">
    <cfRule type="cellIs" dxfId="11" priority="1" operator="equal">
      <formula>"class"</formula>
    </cfRule>
  </conditionalFormatting>
  <conditionalFormatting sqref="B6:B7">
    <cfRule type="cellIs" dxfId="10" priority="6" operator="equal">
      <formula>"class"</formula>
    </cfRule>
  </conditionalFormatting>
  <pageMargins left="0.7" right="0.7" top="0.75" bottom="0.75" header="0.3" footer="0.3"/>
  <pageSetup paperSize="9" orientation="portrait" horizontalDpi="90" verticalDpi="90" r:id="rId1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1EE6D1-75D9-405D-A4CA-8FB1F05E1561}">
  <sheetPr>
    <tabColor theme="8" tint="-0.249977111117893"/>
  </sheetPr>
  <dimension ref="A1:J16"/>
  <sheetViews>
    <sheetView workbookViewId="0">
      <pane xSplit="3" ySplit="1" topLeftCell="D2" activePane="bottomRight" state="frozen"/>
      <selection activeCell="E6" sqref="E6:E9"/>
      <selection pane="topRight" activeCell="E6" sqref="E6:E9"/>
      <selection pane="bottomLeft" activeCell="E6" sqref="E6:E9"/>
      <selection pane="bottomRight" activeCell="E6" sqref="E6:E9"/>
    </sheetView>
  </sheetViews>
  <sheetFormatPr defaultRowHeight="15" x14ac:dyDescent="0.25"/>
  <cols>
    <col min="1" max="1" width="14.42578125" style="15" customWidth="1"/>
    <col min="2" max="2" width="12.7109375" customWidth="1"/>
    <col min="3" max="3" width="15.7109375" customWidth="1"/>
    <col min="4" max="4" width="11.140625" customWidth="1"/>
    <col min="5" max="5" width="10.140625" bestFit="1" customWidth="1"/>
    <col min="6" max="8" width="10" customWidth="1"/>
    <col min="9" max="9" width="6.7109375" customWidth="1"/>
    <col min="10" max="10" width="38.5703125" bestFit="1" customWidth="1"/>
    <col min="11" max="15" width="6.7109375" customWidth="1"/>
  </cols>
  <sheetData>
    <row r="1" spans="1:10" x14ac:dyDescent="0.25">
      <c r="A1" s="1"/>
      <c r="B1" s="2"/>
      <c r="C1" s="3"/>
      <c r="D1" s="2" t="s">
        <v>0</v>
      </c>
      <c r="E1" s="2" t="s">
        <v>1</v>
      </c>
      <c r="F1" s="2" t="s">
        <v>2</v>
      </c>
      <c r="G1" s="2" t="s">
        <v>3</v>
      </c>
      <c r="H1" s="2" t="s">
        <v>4</v>
      </c>
    </row>
    <row r="2" spans="1:10" x14ac:dyDescent="0.25">
      <c r="A2" s="4" t="s">
        <v>5</v>
      </c>
      <c r="B2" s="5"/>
      <c r="C2" s="5"/>
      <c r="E2" s="6"/>
      <c r="F2" s="6"/>
      <c r="G2" s="6"/>
      <c r="H2" s="7" t="s">
        <v>6</v>
      </c>
    </row>
    <row r="3" spans="1:10" x14ac:dyDescent="0.25">
      <c r="A3" s="4" t="s">
        <v>7</v>
      </c>
      <c r="B3" s="5"/>
      <c r="C3" s="5"/>
      <c r="F3" s="6"/>
      <c r="G3" s="6"/>
      <c r="H3" s="7" t="s">
        <v>34</v>
      </c>
    </row>
    <row r="4" spans="1:10" x14ac:dyDescent="0.25">
      <c r="A4" s="8" t="s">
        <v>8</v>
      </c>
      <c r="B4" s="9"/>
      <c r="C4" s="9"/>
      <c r="D4" s="9"/>
      <c r="E4" s="9"/>
      <c r="F4" s="9"/>
      <c r="G4" s="9"/>
      <c r="H4" s="10" t="s">
        <v>9</v>
      </c>
    </row>
    <row r="5" spans="1:10" x14ac:dyDescent="0.25">
      <c r="A5" s="4" t="s">
        <v>10</v>
      </c>
      <c r="B5" s="5" t="s">
        <v>11</v>
      </c>
      <c r="C5" s="5"/>
      <c r="D5" t="s">
        <v>12</v>
      </c>
      <c r="F5" s="11"/>
      <c r="G5" s="11"/>
      <c r="H5" s="12">
        <v>5000</v>
      </c>
    </row>
    <row r="6" spans="1:10" x14ac:dyDescent="0.25">
      <c r="A6" s="4"/>
      <c r="B6" s="13" t="s">
        <v>13</v>
      </c>
      <c r="C6" s="5"/>
      <c r="D6" t="s">
        <v>14</v>
      </c>
      <c r="E6" t="s">
        <v>43</v>
      </c>
      <c r="F6" s="17">
        <v>5.5E-2</v>
      </c>
      <c r="G6" s="17">
        <v>0.51</v>
      </c>
      <c r="H6" s="17">
        <f>0.5504-0.08-0.08</f>
        <v>0.39039999999999997</v>
      </c>
      <c r="J6" s="13" t="s">
        <v>43</v>
      </c>
    </row>
    <row r="7" spans="1:10" x14ac:dyDescent="0.25">
      <c r="A7" s="4"/>
      <c r="B7" s="13" t="s">
        <v>15</v>
      </c>
      <c r="C7" s="5"/>
      <c r="D7" t="s">
        <v>14</v>
      </c>
      <c r="E7" t="s">
        <v>43</v>
      </c>
      <c r="F7" s="17">
        <v>-1.2999999999999999E-3</v>
      </c>
      <c r="G7" s="17">
        <v>0.68</v>
      </c>
      <c r="H7" s="17">
        <f>0.1552+0.08-0.07</f>
        <v>0.16520000000000001</v>
      </c>
      <c r="J7" s="13" t="s">
        <v>43</v>
      </c>
    </row>
    <row r="8" spans="1:10" x14ac:dyDescent="0.25">
      <c r="A8" s="4" t="s">
        <v>16</v>
      </c>
      <c r="B8" s="14" t="s">
        <v>17</v>
      </c>
      <c r="C8" s="5"/>
      <c r="D8" t="s">
        <v>14</v>
      </c>
      <c r="E8" t="s">
        <v>43</v>
      </c>
      <c r="F8" s="11"/>
      <c r="G8" s="11"/>
      <c r="H8" s="18">
        <v>0.05</v>
      </c>
      <c r="J8" s="14" t="s">
        <v>43</v>
      </c>
    </row>
    <row r="9" spans="1:10" x14ac:dyDescent="0.25">
      <c r="A9" s="4"/>
      <c r="B9" s="14" t="s">
        <v>18</v>
      </c>
      <c r="C9" s="5"/>
      <c r="D9" t="s">
        <v>14</v>
      </c>
      <c r="E9" t="s">
        <v>43</v>
      </c>
      <c r="F9" s="11"/>
      <c r="G9" s="11"/>
      <c r="H9" s="18">
        <v>-0.05</v>
      </c>
      <c r="J9" s="14" t="s">
        <v>43</v>
      </c>
    </row>
    <row r="10" spans="1:10" x14ac:dyDescent="0.25">
      <c r="A10" s="4"/>
      <c r="B10" s="5" t="s">
        <v>19</v>
      </c>
      <c r="C10" s="5"/>
      <c r="D10" t="s">
        <v>20</v>
      </c>
      <c r="F10" s="11"/>
      <c r="G10" s="11"/>
      <c r="H10" s="12">
        <v>1000000</v>
      </c>
    </row>
    <row r="11" spans="1:10" x14ac:dyDescent="0.25">
      <c r="A11" s="4"/>
      <c r="B11" s="5" t="s">
        <v>21</v>
      </c>
      <c r="C11" s="5"/>
      <c r="D11" t="s">
        <v>20</v>
      </c>
      <c r="F11" s="11"/>
      <c r="G11" s="11"/>
      <c r="H11" s="12">
        <v>1000000</v>
      </c>
    </row>
    <row r="12" spans="1:10" x14ac:dyDescent="0.25">
      <c r="A12" s="4"/>
      <c r="B12" s="5" t="s">
        <v>22</v>
      </c>
      <c r="C12" s="5"/>
      <c r="D12" t="s">
        <v>20</v>
      </c>
      <c r="F12" s="11"/>
      <c r="G12" s="11"/>
      <c r="H12" s="12">
        <v>150</v>
      </c>
    </row>
    <row r="13" spans="1:10" x14ac:dyDescent="0.25">
      <c r="A13" s="4"/>
      <c r="B13" s="5" t="s">
        <v>23</v>
      </c>
      <c r="C13" s="5"/>
      <c r="D13" t="s">
        <v>20</v>
      </c>
      <c r="F13" s="11"/>
      <c r="G13" s="11"/>
      <c r="H13" s="12">
        <v>150</v>
      </c>
    </row>
    <row r="14" spans="1:10" x14ac:dyDescent="0.25">
      <c r="A14" s="4"/>
      <c r="B14" s="5" t="s">
        <v>24</v>
      </c>
      <c r="C14" s="5"/>
      <c r="D14" t="s">
        <v>14</v>
      </c>
      <c r="F14" s="11"/>
      <c r="G14" s="11"/>
      <c r="H14" s="12">
        <v>1E-4</v>
      </c>
    </row>
    <row r="15" spans="1:10" x14ac:dyDescent="0.25">
      <c r="B15" s="15"/>
      <c r="H15" s="16"/>
    </row>
    <row r="16" spans="1:10" x14ac:dyDescent="0.25">
      <c r="B16" s="15"/>
      <c r="H16" s="16"/>
    </row>
  </sheetData>
  <conditionalFormatting sqref="A4">
    <cfRule type="cellIs" dxfId="9" priority="2" operator="equal">
      <formula>"class"</formula>
    </cfRule>
  </conditionalFormatting>
  <conditionalFormatting sqref="A15:A16">
    <cfRule type="cellIs" dxfId="8" priority="3" operator="equal">
      <formula>"class"</formula>
    </cfRule>
  </conditionalFormatting>
  <conditionalFormatting sqref="A5:B14">
    <cfRule type="cellIs" dxfId="7" priority="5" operator="equal">
      <formula>"class"</formula>
    </cfRule>
  </conditionalFormatting>
  <conditionalFormatting sqref="B6:B7">
    <cfRule type="cellIs" dxfId="6" priority="1" operator="equal">
      <formula>"class"</formula>
    </cfRule>
  </conditionalFormatting>
  <pageMargins left="0.7" right="0.7" top="0.75" bottom="0.75" header="0.3" footer="0.3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91B1B0-A177-4607-955B-BD3EC7691CEE}">
  <sheetPr>
    <tabColor theme="8" tint="-0.249977111117893"/>
  </sheetPr>
  <dimension ref="A1:J16"/>
  <sheetViews>
    <sheetView workbookViewId="0">
      <pane xSplit="3" ySplit="1" topLeftCell="D2" activePane="bottomRight" state="frozen"/>
      <selection activeCell="E6" sqref="E6:E9"/>
      <selection pane="topRight" activeCell="E6" sqref="E6:E9"/>
      <selection pane="bottomLeft" activeCell="E6" sqref="E6:E9"/>
      <selection pane="bottomRight" activeCell="E6" sqref="E6:E9"/>
    </sheetView>
  </sheetViews>
  <sheetFormatPr defaultRowHeight="15" x14ac:dyDescent="0.25"/>
  <cols>
    <col min="1" max="1" width="14.42578125" style="15" customWidth="1"/>
    <col min="2" max="2" width="12.7109375" customWidth="1"/>
    <col min="3" max="3" width="15.7109375" customWidth="1"/>
    <col min="4" max="4" width="11.140625" customWidth="1"/>
    <col min="5" max="5" width="10.140625" bestFit="1" customWidth="1"/>
    <col min="6" max="8" width="10" customWidth="1"/>
    <col min="9" max="9" width="6.7109375" customWidth="1"/>
    <col min="10" max="10" width="38.5703125" bestFit="1" customWidth="1"/>
    <col min="11" max="15" width="6.7109375" customWidth="1"/>
  </cols>
  <sheetData>
    <row r="1" spans="1:10" x14ac:dyDescent="0.25">
      <c r="A1" s="1"/>
      <c r="B1" s="2"/>
      <c r="C1" s="3"/>
      <c r="D1" s="2" t="s">
        <v>0</v>
      </c>
      <c r="E1" s="2" t="s">
        <v>1</v>
      </c>
      <c r="F1" s="2" t="s">
        <v>2</v>
      </c>
      <c r="G1" s="2" t="s">
        <v>3</v>
      </c>
      <c r="H1" s="2" t="s">
        <v>4</v>
      </c>
    </row>
    <row r="2" spans="1:10" x14ac:dyDescent="0.25">
      <c r="A2" s="4" t="s">
        <v>5</v>
      </c>
      <c r="B2" s="5"/>
      <c r="C2" s="5"/>
      <c r="E2" s="6"/>
      <c r="F2" s="6"/>
      <c r="G2" s="6"/>
      <c r="H2" s="7" t="s">
        <v>6</v>
      </c>
    </row>
    <row r="3" spans="1:10" x14ac:dyDescent="0.25">
      <c r="A3" s="4" t="s">
        <v>7</v>
      </c>
      <c r="B3" s="5"/>
      <c r="C3" s="5"/>
      <c r="F3" s="6"/>
      <c r="G3" s="6"/>
      <c r="H3" s="7" t="s">
        <v>35</v>
      </c>
    </row>
    <row r="4" spans="1:10" x14ac:dyDescent="0.25">
      <c r="A4" s="8" t="s">
        <v>8</v>
      </c>
      <c r="B4" s="9"/>
      <c r="C4" s="9"/>
      <c r="D4" s="9"/>
      <c r="E4" s="9"/>
      <c r="F4" s="9"/>
      <c r="G4" s="9"/>
      <c r="H4" s="10" t="s">
        <v>9</v>
      </c>
    </row>
    <row r="5" spans="1:10" x14ac:dyDescent="0.25">
      <c r="A5" s="4" t="s">
        <v>10</v>
      </c>
      <c r="B5" s="5" t="s">
        <v>11</v>
      </c>
      <c r="C5" s="5"/>
      <c r="D5" t="s">
        <v>12</v>
      </c>
      <c r="F5" s="11"/>
      <c r="G5" s="11"/>
      <c r="H5" s="12">
        <v>5000</v>
      </c>
    </row>
    <row r="6" spans="1:10" x14ac:dyDescent="0.25">
      <c r="A6" s="4"/>
      <c r="B6" s="13" t="s">
        <v>13</v>
      </c>
      <c r="C6" s="5"/>
      <c r="D6" t="s">
        <v>14</v>
      </c>
      <c r="E6" t="s">
        <v>43</v>
      </c>
      <c r="F6" s="17">
        <v>5.5E-2</v>
      </c>
      <c r="G6" s="17">
        <v>0.51</v>
      </c>
      <c r="H6" s="17">
        <f>0.5504-0.08-0.08</f>
        <v>0.39039999999999997</v>
      </c>
      <c r="J6" s="13" t="s">
        <v>43</v>
      </c>
    </row>
    <row r="7" spans="1:10" x14ac:dyDescent="0.25">
      <c r="A7" s="4"/>
      <c r="B7" s="13" t="s">
        <v>15</v>
      </c>
      <c r="C7" s="5"/>
      <c r="D7" t="s">
        <v>14</v>
      </c>
      <c r="E7" t="s">
        <v>43</v>
      </c>
      <c r="F7" s="17">
        <v>-1.2999999999999999E-3</v>
      </c>
      <c r="G7" s="17">
        <v>0.68</v>
      </c>
      <c r="H7" s="17">
        <f>0.1552+0.08-0.07</f>
        <v>0.16520000000000001</v>
      </c>
      <c r="J7" s="13" t="s">
        <v>43</v>
      </c>
    </row>
    <row r="8" spans="1:10" x14ac:dyDescent="0.25">
      <c r="A8" s="4" t="s">
        <v>16</v>
      </c>
      <c r="B8" s="14" t="s">
        <v>17</v>
      </c>
      <c r="C8" s="5"/>
      <c r="D8" t="s">
        <v>14</v>
      </c>
      <c r="E8" t="s">
        <v>43</v>
      </c>
      <c r="F8" s="11"/>
      <c r="G8" s="11"/>
      <c r="H8" s="18">
        <v>0.05</v>
      </c>
      <c r="J8" s="14" t="s">
        <v>43</v>
      </c>
    </row>
    <row r="9" spans="1:10" x14ac:dyDescent="0.25">
      <c r="A9" s="4"/>
      <c r="B9" s="14" t="s">
        <v>18</v>
      </c>
      <c r="C9" s="5"/>
      <c r="D9" t="s">
        <v>14</v>
      </c>
      <c r="E9" t="s">
        <v>43</v>
      </c>
      <c r="F9" s="11"/>
      <c r="G9" s="11"/>
      <c r="H9" s="18">
        <v>-0.05</v>
      </c>
      <c r="J9" s="14" t="s">
        <v>43</v>
      </c>
    </row>
    <row r="10" spans="1:10" x14ac:dyDescent="0.25">
      <c r="A10" s="4"/>
      <c r="B10" s="5" t="s">
        <v>19</v>
      </c>
      <c r="C10" s="5"/>
      <c r="D10" t="s">
        <v>20</v>
      </c>
      <c r="F10" s="11"/>
      <c r="G10" s="11"/>
      <c r="H10" s="12">
        <v>1000000</v>
      </c>
    </row>
    <row r="11" spans="1:10" x14ac:dyDescent="0.25">
      <c r="A11" s="4"/>
      <c r="B11" s="5" t="s">
        <v>21</v>
      </c>
      <c r="C11" s="5"/>
      <c r="D11" t="s">
        <v>20</v>
      </c>
      <c r="F11" s="11"/>
      <c r="G11" s="11"/>
      <c r="H11" s="12">
        <v>1000000</v>
      </c>
    </row>
    <row r="12" spans="1:10" x14ac:dyDescent="0.25">
      <c r="A12" s="4"/>
      <c r="B12" s="5" t="s">
        <v>22</v>
      </c>
      <c r="C12" s="5"/>
      <c r="D12" t="s">
        <v>20</v>
      </c>
      <c r="F12" s="11"/>
      <c r="G12" s="11"/>
      <c r="H12" s="12">
        <v>150</v>
      </c>
    </row>
    <row r="13" spans="1:10" x14ac:dyDescent="0.25">
      <c r="A13" s="4"/>
      <c r="B13" s="5" t="s">
        <v>23</v>
      </c>
      <c r="C13" s="5"/>
      <c r="D13" t="s">
        <v>20</v>
      </c>
      <c r="F13" s="11"/>
      <c r="G13" s="11"/>
      <c r="H13" s="12">
        <v>150</v>
      </c>
    </row>
    <row r="14" spans="1:10" x14ac:dyDescent="0.25">
      <c r="A14" s="4"/>
      <c r="B14" s="5" t="s">
        <v>24</v>
      </c>
      <c r="C14" s="5"/>
      <c r="D14" t="s">
        <v>14</v>
      </c>
      <c r="F14" s="11"/>
      <c r="G14" s="11"/>
      <c r="H14" s="12">
        <v>1E-4</v>
      </c>
    </row>
    <row r="15" spans="1:10" x14ac:dyDescent="0.25">
      <c r="B15" s="15"/>
      <c r="H15" s="16"/>
    </row>
    <row r="16" spans="1:10" x14ac:dyDescent="0.25">
      <c r="B16" s="15"/>
      <c r="H16" s="16"/>
    </row>
  </sheetData>
  <conditionalFormatting sqref="A4">
    <cfRule type="cellIs" dxfId="5" priority="2" operator="equal">
      <formula>"class"</formula>
    </cfRule>
  </conditionalFormatting>
  <conditionalFormatting sqref="A15:A16">
    <cfRule type="cellIs" dxfId="4" priority="3" operator="equal">
      <formula>"class"</formula>
    </cfRule>
  </conditionalFormatting>
  <conditionalFormatting sqref="A5:B14">
    <cfRule type="cellIs" dxfId="3" priority="5" operator="equal">
      <formula>"class"</formula>
    </cfRule>
  </conditionalFormatting>
  <conditionalFormatting sqref="B6:B7">
    <cfRule type="cellIs" dxfId="2" priority="1" operator="equal">
      <formula>"class"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28</vt:i4>
      </vt:variant>
    </vt:vector>
  </HeadingPairs>
  <TitlesOfParts>
    <vt:vector size="28" baseType="lpstr">
      <vt:lpstr>None</vt:lpstr>
      <vt:lpstr>No_Damper</vt:lpstr>
      <vt:lpstr>Sedan_HambaLG_f</vt:lpstr>
      <vt:lpstr>Sedan_HambaLG_r</vt:lpstr>
      <vt:lpstr>Sedan_HambaLG_Mac_f</vt:lpstr>
      <vt:lpstr>Sedan_HambaLG_stiff_f</vt:lpstr>
      <vt:lpstr>Sedan_HambaLG_stiff_r</vt:lpstr>
      <vt:lpstr>Sedan_Hamba_f</vt:lpstr>
      <vt:lpstr>Sedan_Hamba_r</vt:lpstr>
      <vt:lpstr>Sedan_Hamba_Mac_f</vt:lpstr>
      <vt:lpstr>SUV_Landy_TA2PR_f</vt:lpstr>
      <vt:lpstr>SUV_Landy_DW_f</vt:lpstr>
      <vt:lpstr>SUV_Landy_TA3_r</vt:lpstr>
      <vt:lpstr>SUV_Landy_TA4Watts_r</vt:lpstr>
      <vt:lpstr>Achilles_f</vt:lpstr>
      <vt:lpstr>Achilles_r</vt:lpstr>
      <vt:lpstr>Achilles_Push_f</vt:lpstr>
      <vt:lpstr>Achilles_Push_r</vt:lpstr>
      <vt:lpstr>Achilles_DW_f</vt:lpstr>
      <vt:lpstr>Achilles_DW_r</vt:lpstr>
      <vt:lpstr>Sedan_Hamba_LiveAxle_r</vt:lpstr>
      <vt:lpstr>Sedan_Hamba_TwistBeam_r</vt:lpstr>
      <vt:lpstr>Bus_Makhulu_f</vt:lpstr>
      <vt:lpstr>Bus_Makhulu_A2</vt:lpstr>
      <vt:lpstr>Bus_Makhulu_Axle3_A2</vt:lpstr>
      <vt:lpstr>Bus_Makhulu_Axle3_A3</vt:lpstr>
      <vt:lpstr>Trailer1Elula_f</vt:lpstr>
      <vt:lpstr>Trailer1Thwala_f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Steve Miller</dc:creator>
  <cp:lastModifiedBy>Steve Miller</cp:lastModifiedBy>
  <dcterms:created xsi:type="dcterms:W3CDTF">2019-11-06T14:37:31Z</dcterms:created>
  <dcterms:modified xsi:type="dcterms:W3CDTF">2026-02-20T11:15:06Z</dcterms:modified>
</cp:coreProperties>
</file>