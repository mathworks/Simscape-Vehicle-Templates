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8AF56F5C-5B32-458B-A3F3-822B7C704DBC}" xr6:coauthVersionLast="47" xr6:coauthVersionMax="47" xr10:uidLastSave="{00000000-0000-0000-0000-000000000000}"/>
  <bookViews>
    <workbookView xWindow="22590" yWindow="840" windowWidth="20370" windowHeight="14640" xr2:uid="{B9C97C16-4F33-494F-A20E-FB2F7931B984}"/>
  </bookViews>
  <sheets>
    <sheet name="Sedan_HambaLG_f" sheetId="1" r:id="rId1"/>
    <sheet name="Sedan_HambaLG_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" i="2" l="1"/>
  <c r="N6" i="2"/>
  <c r="M6" i="2"/>
  <c r="L6" i="2"/>
  <c r="K6" i="2"/>
  <c r="J6" i="2"/>
  <c r="I6" i="2"/>
  <c r="H6" i="2"/>
  <c r="O6" i="1"/>
  <c r="N6" i="1"/>
  <c r="M6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<sst xmlns="http://schemas.openxmlformats.org/spreadsheetml/2006/main" count="68" uniqueCount="25">
  <si>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</si>
  <si>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</si>
  <si>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</si>
  <si>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</si>
  <si>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</si>
  <si>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</si>
  <si>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</si>
  <si>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</si>
  <si>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</si>
  <si>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</si>
  <si>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vDamper</t>
  </si>
  <si>
    <t>m/s</t>
  </si>
  <si>
    <t>fDamper</t>
  </si>
  <si>
    <t>N</t>
  </si>
  <si>
    <t>sTop</t>
  </si>
  <si>
    <t>m</t>
  </si>
  <si>
    <t>sBottom</t>
  </si>
  <si>
    <t>Endstop</t>
  </si>
  <si>
    <t>Used to set fVector</t>
  </si>
  <si>
    <t>Must be consistent with values in Linkage</t>
  </si>
  <si>
    <t>xEndstop</t>
  </si>
  <si>
    <t>fEndstop</t>
  </si>
  <si>
    <t>Nonlinear_EndstopNL</t>
  </si>
  <si>
    <t>Sedan_HambaLG_Nonlinear_EndstopNL_A1</t>
  </si>
  <si>
    <t>Sedan_HambaLG_Nonlinear_EndstopNL_A2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</si>
</sst>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5" borderId="0" xfId="0" applyFill="1"/>
    <xf numFmtId="1" fontId="2" fillId="5" borderId="0" xfId="0" applyNumberFormat="1" applyFont="1" applyFill="1"/>
    <xf numFmtId="164" fontId="2" fillId="6" borderId="0" xfId="0" applyNumberFormat="1" applyFont="1" applyFill="1"/>
    <xf numFmtId="2" fontId="2" fillId="6" borderId="0" xfId="0" applyNumberFormat="1" applyFont="1" applyFill="1"/>
    <xf numFmtId="2" fontId="2" fillId="7" borderId="0" xfId="0" applyNumberFormat="1" applyFont="1" applyFill="1"/>
    <xf numFmtId="11" fontId="2" fillId="0" borderId="0" xfId="0" applyNumberFormat="1" applyFont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CE7D-54C3-4A7E-B39E-1647E14E16BD}">
  <sheetPr>
    <tabColor theme="8" tint="-0.249977111117893"/>
  </sheetPr>
  <dimension ref="A1:O20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N9" sqref="N9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23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22</v>
      </c>
    </row>
    <row r="5" spans="1:15" x14ac:dyDescent="0.25">
      <c r="A5" s="4" t="s">
        <v>9</v>
      </c>
      <c r="B5" s="5" t="s">
        <v>10</v>
      </c>
      <c r="C5" s="5"/>
      <c r="D5" t="s">
        <v>11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12</v>
      </c>
      <c r="C6" s="5"/>
      <c r="D6" t="s">
        <v>13</v>
      </c>
      <c r="F6" s="10"/>
      <c r="G6" s="10"/>
      <c r="H6" s="11">
        <f>H5*$J$20</f>
        <v>-20000</v>
      </c>
      <c r="I6" s="11">
        <f t="shared" ref="I6:O6" si="0">I5*$J$20</f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14</v>
      </c>
      <c r="C7" s="5"/>
      <c r="D7" t="s">
        <v>15</v>
      </c>
      <c r="E7" t="s">
        <v>19</v>
      </c>
      <c r="F7" s="18">
        <v>-2.6557142857142869E-3</v>
      </c>
      <c r="G7" s="19">
        <v>0.62</v>
      </c>
      <c r="H7" s="19">
        <v>0.65</v>
      </c>
      <c r="J7" s="12" t="s">
        <v>19</v>
      </c>
      <c r="K7" s="12"/>
      <c r="L7" s="12"/>
      <c r="M7" s="12"/>
      <c r="N7" s="12"/>
      <c r="O7" s="12"/>
    </row>
    <row r="8" spans="1:15" x14ac:dyDescent="0.25">
      <c r="A8" s="4"/>
      <c r="B8" s="12" t="s">
        <v>16</v>
      </c>
      <c r="C8" s="5"/>
      <c r="D8" t="s">
        <v>15</v>
      </c>
      <c r="E8" t="s">
        <v>19</v>
      </c>
      <c r="F8" s="18">
        <v>5.5166428571428582E-2</v>
      </c>
      <c r="G8" s="19">
        <v>0.85</v>
      </c>
      <c r="H8" s="19">
        <v>0.19</v>
      </c>
      <c r="J8" s="12" t="s">
        <v>19</v>
      </c>
      <c r="K8" s="12"/>
      <c r="L8" s="12"/>
      <c r="M8" s="12"/>
      <c r="N8" s="12"/>
      <c r="O8" s="12"/>
    </row>
    <row r="9" spans="1:15" x14ac:dyDescent="0.25">
      <c r="A9" s="4" t="s">
        <v>17</v>
      </c>
      <c r="B9" s="13" t="s">
        <v>20</v>
      </c>
      <c r="C9" s="5"/>
      <c r="D9" t="s">
        <v>15</v>
      </c>
      <c r="E9" t="s">
        <v>19</v>
      </c>
      <c r="F9" s="10"/>
      <c r="G9" s="10"/>
      <c r="H9" s="13">
        <v>-0.13500000000000001</v>
      </c>
      <c r="I9" s="13">
        <v>-0.13</v>
      </c>
      <c r="J9" s="13">
        <v>-0.125</v>
      </c>
      <c r="K9" s="20">
        <v>-0.115</v>
      </c>
      <c r="L9" s="13">
        <v>0</v>
      </c>
      <c r="M9" s="20">
        <v>0.11</v>
      </c>
      <c r="N9" s="13">
        <v>0.18</v>
      </c>
    </row>
    <row r="10" spans="1:15" x14ac:dyDescent="0.25">
      <c r="A10" s="4"/>
      <c r="B10" s="13" t="s">
        <v>21</v>
      </c>
      <c r="C10" s="5"/>
      <c r="D10" t="s">
        <v>15</v>
      </c>
      <c r="E10" t="s">
        <v>19</v>
      </c>
      <c r="F10" s="10"/>
      <c r="G10" s="10"/>
      <c r="H10">
        <v>-13000</v>
      </c>
      <c r="I10">
        <v>-11000</v>
      </c>
      <c r="J10">
        <v>-5000</v>
      </c>
      <c r="K10">
        <v>0</v>
      </c>
      <c r="L10">
        <v>0</v>
      </c>
      <c r="M10">
        <v>0</v>
      </c>
      <c r="N10">
        <v>40000</v>
      </c>
    </row>
    <row r="11" spans="1:15" x14ac:dyDescent="0.25">
      <c r="B11" s="14"/>
      <c r="H11" s="15"/>
      <c r="J11" s="13" t="s">
        <v>19</v>
      </c>
      <c r="K11" s="13"/>
      <c r="L11" s="13"/>
      <c r="M11" s="13"/>
      <c r="N11" s="13"/>
      <c r="O11" s="13"/>
    </row>
    <row r="12" spans="1:15" x14ac:dyDescent="0.25">
      <c r="B12" s="14"/>
      <c r="H12" s="15"/>
      <c r="J12" s="13" t="s">
        <v>19</v>
      </c>
      <c r="K12" s="13"/>
      <c r="L12" s="13"/>
      <c r="M12" s="13"/>
      <c r="N12" s="13"/>
      <c r="O12" s="13"/>
    </row>
    <row r="13" spans="1:15" x14ac:dyDescent="0.25">
      <c r="F13" s="10"/>
      <c r="G13" s="10"/>
      <c r="H13" s="21"/>
    </row>
    <row r="14" spans="1:15" x14ac:dyDescent="0.25">
      <c r="F14" s="10"/>
      <c r="G14" s="10"/>
      <c r="H14" s="21"/>
    </row>
    <row r="15" spans="1:15" x14ac:dyDescent="0.25">
      <c r="F15" s="10"/>
      <c r="G15" s="10"/>
      <c r="H15" s="21"/>
    </row>
    <row r="16" spans="1:15" x14ac:dyDescent="0.25">
      <c r="B16" s="14"/>
      <c r="H16" s="15"/>
    </row>
    <row r="17" spans="2:10" x14ac:dyDescent="0.25">
      <c r="B17" s="14"/>
      <c r="H17" s="15"/>
    </row>
    <row r="19" spans="2:10" x14ac:dyDescent="0.25">
      <c r="J19" s="16" t="s">
        <v>18</v>
      </c>
    </row>
    <row r="20" spans="2:10" x14ac:dyDescent="0.25">
      <c r="J20" s="17">
        <v>20000</v>
      </c>
    </row>
  </sheetData>
  <conditionalFormatting sqref="A4:A17">
    <cfRule type="cellIs" dxfId="5" priority="1" operator="equal">
      <formula>"class"</formula>
    </cfRule>
  </conditionalFormatting>
  <conditionalFormatting sqref="B5:B10">
    <cfRule type="cellIs" dxfId="4" priority="2" operator="equal">
      <formula>"class"</formula>
    </cfRule>
  </conditionalFormatting>
  <conditionalFormatting sqref="B13:B15">
    <cfRule type="cellIs" dxfId="3" priority="4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D7F7-56E1-433C-803D-C75DA6F2F5F6}">
  <sheetPr>
    <tabColor theme="8" tint="-0.249977111117893"/>
  </sheetPr>
  <dimension ref="A1:O20"/>
  <sheetViews>
    <sheetView workbookViewId="0">
      <pane xSplit="3" ySplit="1" topLeftCell="D2" activePane="bottomRight" state="frozen"/>
      <selection activeCell="E7" sqref="E7:E10"/>
      <selection pane="topRight" activeCell="E7" sqref="E7:E10"/>
      <selection pane="bottomLeft" activeCell="E7" sqref="E7:E10"/>
      <selection pane="bottomRight" activeCell="F17" sqref="F17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24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22</v>
      </c>
    </row>
    <row r="5" spans="1:15" x14ac:dyDescent="0.25">
      <c r="A5" s="4" t="s">
        <v>9</v>
      </c>
      <c r="B5" s="5" t="s">
        <v>10</v>
      </c>
      <c r="C5" s="5"/>
      <c r="D5" t="s">
        <v>11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12</v>
      </c>
      <c r="C6" s="5"/>
      <c r="D6" t="s">
        <v>13</v>
      </c>
      <c r="F6" s="10"/>
      <c r="G6" s="10"/>
      <c r="H6" s="11">
        <f t="shared" ref="H6:O6" si="0">H5*$J$20</f>
        <v>-20000</v>
      </c>
      <c r="I6" s="11">
        <f t="shared" si="0"/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14</v>
      </c>
      <c r="C7" s="5"/>
      <c r="D7" t="s">
        <v>15</v>
      </c>
      <c r="E7" t="s">
        <v>19</v>
      </c>
      <c r="F7" s="19">
        <v>2.6557142857142869E-3</v>
      </c>
      <c r="G7" s="19">
        <v>0.62</v>
      </c>
      <c r="H7" s="19">
        <v>0.65</v>
      </c>
      <c r="J7" s="12" t="s">
        <v>19</v>
      </c>
      <c r="K7" s="12"/>
      <c r="L7" s="12"/>
      <c r="M7" s="12"/>
      <c r="N7" s="12"/>
      <c r="O7" s="12"/>
    </row>
    <row r="8" spans="1:15" x14ac:dyDescent="0.25">
      <c r="A8" s="4"/>
      <c r="B8" s="12" t="s">
        <v>16</v>
      </c>
      <c r="C8" s="5"/>
      <c r="D8" t="s">
        <v>15</v>
      </c>
      <c r="E8" t="s">
        <v>19</v>
      </c>
      <c r="F8" s="19">
        <v>-5.5166428571428582E-2</v>
      </c>
      <c r="G8" s="19">
        <v>0.85</v>
      </c>
      <c r="H8" s="19">
        <v>0.19</v>
      </c>
      <c r="J8" s="12" t="s">
        <v>19</v>
      </c>
      <c r="K8" s="12"/>
      <c r="L8" s="12"/>
      <c r="M8" s="12"/>
      <c r="N8" s="12"/>
      <c r="O8" s="12"/>
    </row>
    <row r="9" spans="1:15" x14ac:dyDescent="0.25">
      <c r="A9" s="4" t="s">
        <v>17</v>
      </c>
      <c r="B9" s="13" t="s">
        <v>20</v>
      </c>
      <c r="C9" s="5"/>
      <c r="D9" t="s">
        <v>15</v>
      </c>
      <c r="E9" t="s">
        <v>19</v>
      </c>
      <c r="F9" s="10"/>
      <c r="G9" s="10"/>
      <c r="H9" s="13">
        <v>-0.13500000000000001</v>
      </c>
      <c r="I9" s="13">
        <v>-0.13</v>
      </c>
      <c r="J9" s="13">
        <v>-0.125</v>
      </c>
      <c r="K9" s="20">
        <v>-0.115</v>
      </c>
      <c r="L9" s="13">
        <v>0</v>
      </c>
      <c r="M9" s="20">
        <v>0.13500000000000001</v>
      </c>
      <c r="N9" s="13">
        <v>0.18</v>
      </c>
    </row>
    <row r="10" spans="1:15" x14ac:dyDescent="0.25">
      <c r="A10" s="4"/>
      <c r="B10" s="13" t="s">
        <v>21</v>
      </c>
      <c r="C10" s="5"/>
      <c r="D10" t="s">
        <v>15</v>
      </c>
      <c r="E10" t="s">
        <v>19</v>
      </c>
      <c r="F10" s="10"/>
      <c r="G10" s="10"/>
      <c r="H10">
        <v>-13000</v>
      </c>
      <c r="I10">
        <v>-11000</v>
      </c>
      <c r="J10">
        <v>-5000</v>
      </c>
      <c r="K10">
        <v>0</v>
      </c>
      <c r="L10">
        <v>0</v>
      </c>
      <c r="M10">
        <v>0</v>
      </c>
      <c r="N10">
        <v>40000</v>
      </c>
    </row>
    <row r="11" spans="1:15" x14ac:dyDescent="0.25">
      <c r="B11" s="14"/>
      <c r="H11" s="15"/>
      <c r="J11" s="13" t="s">
        <v>19</v>
      </c>
      <c r="K11" s="13"/>
      <c r="L11" s="13"/>
      <c r="M11" s="13"/>
      <c r="N11" s="13"/>
      <c r="O11" s="13"/>
    </row>
    <row r="12" spans="1:15" x14ac:dyDescent="0.25">
      <c r="B12" s="14"/>
      <c r="H12" s="15"/>
      <c r="J12" s="13" t="s">
        <v>19</v>
      </c>
      <c r="K12" s="13"/>
      <c r="L12" s="13"/>
      <c r="M12" s="13"/>
      <c r="N12" s="13"/>
      <c r="O12" s="13"/>
    </row>
    <row r="13" spans="1:15" x14ac:dyDescent="0.25">
      <c r="F13" s="10"/>
      <c r="G13" s="10"/>
      <c r="H13" s="21"/>
    </row>
    <row r="14" spans="1:15" x14ac:dyDescent="0.25">
      <c r="F14" s="10"/>
      <c r="G14" s="10"/>
      <c r="H14" s="21"/>
    </row>
    <row r="15" spans="1:15" x14ac:dyDescent="0.25">
      <c r="F15" s="10"/>
      <c r="G15" s="10"/>
      <c r="H15" s="21"/>
    </row>
    <row r="16" spans="1:15" x14ac:dyDescent="0.25">
      <c r="B16" s="14"/>
      <c r="H16" s="15"/>
    </row>
    <row r="17" spans="2:10" x14ac:dyDescent="0.25">
      <c r="B17" s="14"/>
      <c r="H17" s="15"/>
    </row>
    <row r="19" spans="2:10" x14ac:dyDescent="0.25">
      <c r="J19" s="16" t="s">
        <v>18</v>
      </c>
    </row>
    <row r="20" spans="2:10" x14ac:dyDescent="0.25">
      <c r="J20" s="17">
        <v>20000</v>
      </c>
    </row>
  </sheetData>
  <conditionalFormatting sqref="A4:A17">
    <cfRule type="cellIs" dxfId="2" priority="1" operator="equal">
      <formula>"class"</formula>
    </cfRule>
  </conditionalFormatting>
  <conditionalFormatting sqref="B5:B10">
    <cfRule type="cellIs" dxfId="1" priority="2" operator="equal">
      <formula>"class"</formula>
    </cfRule>
  </conditionalFormatting>
  <conditionalFormatting sqref="B13:B15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Sedan_HambaLG_f</vt:lpstr>
      <vt:lpstr>Sedan_HambaLG_r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2019-11-06T14:41:46Z</dcterms:created>
  <dcterms:modified xsi:type="dcterms:W3CDTF">2025-09-18T09:54:56Z</dcterms:modified>
</cp:coreProperties>
</file>