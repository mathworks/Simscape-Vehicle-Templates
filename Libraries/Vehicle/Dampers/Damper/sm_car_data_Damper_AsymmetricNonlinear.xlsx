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\Others\smiller\ssvt_srcR22a\Libraries\Vehicle\Dampers\Damper\"/>
    </mc:Choice>
  </mc:AlternateContent>
  <xr:revisionPtr revIDLastSave="0" documentId="13_ncr:1_{BE34D469-D2DD-44DB-B7B0-3569A681DDDE}" xr6:coauthVersionLast="47" xr6:coauthVersionMax="47" xr10:uidLastSave="{00000000-0000-0000-0000-000000000000}"/>
  <bookViews>
    <workbookView xWindow="31335" yWindow="3015" windowWidth="21600" windowHeight="11295" xr2:uid="{B9C97C16-4F33-494F-A20E-FB2F7931B984}"/>
  </bookViews>
  <sheets>
    <sheet name="SUV_Landy_TA2PR_f" sheetId="1" r:id="rId1"/>
    <sheet name="SUV_Landy_TA2PRNoSteer_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11" i="1" l="1"/>
  <c r="O6" i="2"/>
  <c r="N6" i="2"/>
  <c r="M6" i="2"/>
  <c r="L6" i="2"/>
  <c r="K6" i="2"/>
  <c r="J6" i="2"/>
  <c r="I6" i="2"/>
  <c r="H6" i="2"/>
  <c r="O6" i="1"/>
  <c r="N6" i="1"/>
  <c r="M6" i="1"/>
  <c r="L6" i="1"/>
  <c r="K6" i="1"/>
  <c r="J6" i="1"/>
  <c r="I6" i="1"/>
  <c r="H6" i="1"/>
</calcChain>
</file>

<file path=xl/sharedStrings.xml><?xml version="1.0" encoding="utf-8"?>
<sst xmlns="http://schemas.openxmlformats.org/spreadsheetml/2006/main" count="104" uniqueCount="33">
  <si>
    <t>Units</t>
  </si>
  <si>
    <t>Comments</t>
  </si>
  <si>
    <t>x</t>
  </si>
  <si>
    <t>y</t>
  </si>
  <si>
    <t>z or scalar</t>
  </si>
  <si>
    <t>Type</t>
  </si>
  <si>
    <t>Damper</t>
  </si>
  <si>
    <t>Instance</t>
  </si>
  <si>
    <t>class</t>
  </si>
  <si>
    <t>Damping</t>
  </si>
  <si>
    <t>vDamper</t>
  </si>
  <si>
    <t>m/s</t>
  </si>
  <si>
    <t>fDamper</t>
  </si>
  <si>
    <t>N</t>
  </si>
  <si>
    <t>m</t>
  </si>
  <si>
    <t>Endstop</t>
  </si>
  <si>
    <t>xMax</t>
  </si>
  <si>
    <t>xMin</t>
  </si>
  <si>
    <t>KxMax</t>
  </si>
  <si>
    <t>N/m</t>
  </si>
  <si>
    <t>KxMin</t>
  </si>
  <si>
    <t>dxMax</t>
  </si>
  <si>
    <t>dxMin</t>
  </si>
  <si>
    <t>xTransition</t>
  </si>
  <si>
    <t>Used to set fVector</t>
  </si>
  <si>
    <t>Must be consistent with values in Linkage</t>
  </si>
  <si>
    <t>SUV_Landy_TA2PR_AsymmetricNonlinear_A1</t>
  </si>
  <si>
    <t>AsymmetricNonlinear</t>
  </si>
  <si>
    <t>sTopL</t>
  </si>
  <si>
    <t>sTopR</t>
  </si>
  <si>
    <t>sBottomL</t>
  </si>
  <si>
    <t>sBottomR</t>
  </si>
  <si>
    <t>SUV_Landy_TA2PRNoSteer_AsymmetricNonlinear_A2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</si>
</sst>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center"/>
    </xf>
    <xf numFmtId="0" fontId="0" fillId="2" borderId="0" xfId="0" applyFill="1"/>
    <xf numFmtId="0" fontId="0" fillId="3" borderId="0" xfId="0" applyFill="1" applyAlignment="1">
      <alignment horizontal="left"/>
    </xf>
    <xf numFmtId="0" fontId="0" fillId="3" borderId="0" xfId="0" applyFill="1"/>
    <xf numFmtId="2" fontId="2" fillId="0" borderId="0" xfId="0" applyNumberFormat="1" applyFont="1"/>
    <xf numFmtId="2" fontId="2" fillId="0" borderId="0" xfId="0" applyNumberFormat="1" applyFont="1" applyAlignment="1">
      <alignment horizontal="right"/>
    </xf>
    <xf numFmtId="0" fontId="0" fillId="4" borderId="0" xfId="0" applyFill="1"/>
    <xf numFmtId="11" fontId="2" fillId="4" borderId="0" xfId="0" applyNumberFormat="1" applyFont="1" applyFill="1" applyAlignment="1">
      <alignment horizontal="right"/>
    </xf>
    <xf numFmtId="0" fontId="2" fillId="0" borderId="0" xfId="0" applyFont="1"/>
    <xf numFmtId="0" fontId="2" fillId="5" borderId="0" xfId="0" applyFont="1" applyFill="1"/>
    <xf numFmtId="0" fontId="0" fillId="6" borderId="0" xfId="0" applyFill="1"/>
    <xf numFmtId="0" fontId="0" fillId="7" borderId="0" xfId="0" applyFill="1"/>
    <xf numFmtId="11" fontId="2" fillId="0" borderId="0" xfId="0" applyNumberFormat="1" applyFont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5" borderId="0" xfId="0" applyFill="1"/>
    <xf numFmtId="1" fontId="2" fillId="5" borderId="0" xfId="0" applyNumberFormat="1" applyFont="1" applyFill="1"/>
    <xf numFmtId="164" fontId="0" fillId="6" borderId="0" xfId="0" applyNumberFormat="1" applyFill="1"/>
    <xf numFmtId="164" fontId="2" fillId="7" borderId="0" xfId="0" applyNumberFormat="1" applyFont="1" applyFill="1"/>
  </cellXfs>
  <cellStyles count="1">
    <cellStyle name="Normal" xfId="0" builtinId="0"/>
  </cellStyles>
  <dxfs count="6"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9CE7D-54C3-4A7E-B39E-1647E14E16BD}">
  <sheetPr>
    <tabColor theme="8" tint="-0.249977111117893"/>
  </sheetPr>
  <dimension ref="A1:O22"/>
  <sheetViews>
    <sheetView tabSelected="1" workbookViewId="0">
      <pane xSplit="3" ySplit="1" topLeftCell="D2" activePane="bottomRight" state="frozen"/>
      <selection activeCell="E9" sqref="E9"/>
      <selection pane="topRight" activeCell="E9" sqref="E9"/>
      <selection pane="bottomLeft" activeCell="E9" sqref="E9"/>
      <selection pane="bottomRight" activeCell="O19" sqref="O19"/>
    </sheetView>
  </sheetViews>
  <sheetFormatPr defaultRowHeight="15" x14ac:dyDescent="0.25"/>
  <cols>
    <col min="1" max="1" width="14.42578125" style="15" customWidth="1"/>
    <col min="2" max="2" width="12.7109375" customWidth="1"/>
    <col min="3" max="3" width="15.7109375" customWidth="1"/>
    <col min="4" max="4" width="11.140625" customWidth="1"/>
    <col min="5" max="5" width="16.7109375" customWidth="1"/>
    <col min="6" max="8" width="10" customWidth="1"/>
    <col min="9" max="9" width="6.7109375" customWidth="1"/>
    <col min="10" max="10" width="7.42578125" customWidth="1"/>
    <col min="11" max="15" width="6.7109375" customWidth="1"/>
  </cols>
  <sheetData>
    <row r="1" spans="1:15" x14ac:dyDescent="0.25">
      <c r="A1" s="1"/>
      <c r="B1" s="2"/>
      <c r="C1" s="3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</row>
    <row r="2" spans="1:15" x14ac:dyDescent="0.25">
      <c r="A2" s="4" t="s">
        <v>5</v>
      </c>
      <c r="B2" s="5"/>
      <c r="C2" s="5"/>
      <c r="E2" s="6"/>
      <c r="F2" s="6"/>
      <c r="G2" s="6"/>
      <c r="H2" s="7" t="s">
        <v>6</v>
      </c>
    </row>
    <row r="3" spans="1:15" x14ac:dyDescent="0.25">
      <c r="A3" s="4" t="s">
        <v>7</v>
      </c>
      <c r="B3" s="5"/>
      <c r="C3" s="5"/>
      <c r="F3" s="6"/>
      <c r="G3" s="6"/>
      <c r="H3" s="7" t="s">
        <v>26</v>
      </c>
    </row>
    <row r="4" spans="1:15" x14ac:dyDescent="0.25">
      <c r="A4" s="4" t="s">
        <v>8</v>
      </c>
      <c r="B4" s="8"/>
      <c r="C4" s="8"/>
      <c r="D4" s="8"/>
      <c r="E4" s="8"/>
      <c r="F4" s="8"/>
      <c r="G4" s="8"/>
      <c r="H4" s="9" t="s">
        <v>27</v>
      </c>
    </row>
    <row r="5" spans="1:15" x14ac:dyDescent="0.25">
      <c r="A5" s="4" t="s">
        <v>9</v>
      </c>
      <c r="B5" s="5" t="s">
        <v>10</v>
      </c>
      <c r="C5" s="5"/>
      <c r="D5" t="s">
        <v>11</v>
      </c>
      <c r="F5" s="10"/>
      <c r="G5" s="10"/>
      <c r="H5" s="10">
        <v>-1</v>
      </c>
      <c r="I5" s="10">
        <v>-0.5</v>
      </c>
      <c r="J5" s="10">
        <v>-0.3</v>
      </c>
      <c r="K5" s="10">
        <v>-0.1</v>
      </c>
      <c r="L5" s="10">
        <v>0.1</v>
      </c>
      <c r="M5" s="10">
        <v>0.3</v>
      </c>
      <c r="N5" s="10">
        <v>0.5</v>
      </c>
      <c r="O5" s="10">
        <v>1</v>
      </c>
    </row>
    <row r="6" spans="1:15" x14ac:dyDescent="0.25">
      <c r="A6" s="4"/>
      <c r="B6" s="5" t="s">
        <v>12</v>
      </c>
      <c r="C6" s="5"/>
      <c r="D6" t="s">
        <v>13</v>
      </c>
      <c r="F6" s="10"/>
      <c r="G6" s="10"/>
      <c r="H6" s="11">
        <f>H5*$J$22</f>
        <v>-20000</v>
      </c>
      <c r="I6" s="11">
        <f t="shared" ref="I6:O6" si="0">I5*$J$22</f>
        <v>-10000</v>
      </c>
      <c r="J6" s="11">
        <f t="shared" si="0"/>
        <v>-6000</v>
      </c>
      <c r="K6" s="11">
        <f t="shared" si="0"/>
        <v>-2000</v>
      </c>
      <c r="L6" s="11">
        <f t="shared" si="0"/>
        <v>2000</v>
      </c>
      <c r="M6" s="11">
        <f t="shared" si="0"/>
        <v>6000</v>
      </c>
      <c r="N6" s="11">
        <f t="shared" si="0"/>
        <v>10000</v>
      </c>
      <c r="O6" s="11">
        <f t="shared" si="0"/>
        <v>20000</v>
      </c>
    </row>
    <row r="7" spans="1:15" x14ac:dyDescent="0.25">
      <c r="A7" s="4"/>
      <c r="B7" s="12" t="s">
        <v>28</v>
      </c>
      <c r="C7" s="5"/>
      <c r="D7" t="s">
        <v>14</v>
      </c>
      <c r="E7" t="s">
        <v>25</v>
      </c>
      <c r="F7" s="19">
        <v>-1E-3</v>
      </c>
      <c r="G7" s="19">
        <v>0.47799999999999998</v>
      </c>
      <c r="H7" s="19">
        <v>0.73299999999999998</v>
      </c>
      <c r="J7" s="12" t="s">
        <v>25</v>
      </c>
      <c r="K7" s="12"/>
      <c r="L7" s="12"/>
      <c r="M7" s="12"/>
      <c r="N7" s="12"/>
      <c r="O7" s="12"/>
    </row>
    <row r="8" spans="1:15" x14ac:dyDescent="0.25">
      <c r="A8" s="4"/>
      <c r="B8" s="12" t="s">
        <v>29</v>
      </c>
      <c r="C8" s="5"/>
      <c r="D8" t="s">
        <v>14</v>
      </c>
      <c r="E8" t="s">
        <v>25</v>
      </c>
      <c r="F8" s="19">
        <v>-1E-3</v>
      </c>
      <c r="G8" s="19">
        <v>-0.47799999999999998</v>
      </c>
      <c r="H8" s="19">
        <v>0.73299999999999998</v>
      </c>
      <c r="J8" s="12" t="s">
        <v>25</v>
      </c>
      <c r="K8" s="12"/>
      <c r="L8" s="12"/>
      <c r="M8" s="12"/>
      <c r="N8" s="12"/>
      <c r="O8" s="12"/>
    </row>
    <row r="9" spans="1:15" x14ac:dyDescent="0.25">
      <c r="A9" s="4"/>
      <c r="B9" s="12" t="s">
        <v>30</v>
      </c>
      <c r="C9" s="5"/>
      <c r="D9" t="s">
        <v>14</v>
      </c>
      <c r="E9" t="s">
        <v>25</v>
      </c>
      <c r="F9" s="19">
        <v>-3.0000000000000001E-3</v>
      </c>
      <c r="G9" s="19">
        <v>0.49299999999999999</v>
      </c>
      <c r="H9" s="19">
        <v>0.52300000000000002</v>
      </c>
      <c r="J9" s="12" t="s">
        <v>25</v>
      </c>
      <c r="K9" s="12"/>
      <c r="L9" s="12"/>
      <c r="M9" s="12"/>
      <c r="N9" s="12"/>
      <c r="O9" s="12"/>
    </row>
    <row r="10" spans="1:15" x14ac:dyDescent="0.25">
      <c r="A10" s="4"/>
      <c r="B10" s="12" t="s">
        <v>31</v>
      </c>
      <c r="C10" s="5"/>
      <c r="D10" t="s">
        <v>14</v>
      </c>
      <c r="E10" t="s">
        <v>25</v>
      </c>
      <c r="F10" s="19">
        <v>-3.0000000000000001E-3</v>
      </c>
      <c r="G10" s="19">
        <v>-0.48699999999999999</v>
      </c>
      <c r="H10" s="19">
        <v>0.52300000000000002</v>
      </c>
      <c r="J10" s="12" t="s">
        <v>25</v>
      </c>
      <c r="K10" s="12"/>
      <c r="L10" s="12"/>
      <c r="M10" s="12"/>
      <c r="N10" s="12"/>
      <c r="O10" s="12"/>
    </row>
    <row r="11" spans="1:15" x14ac:dyDescent="0.25">
      <c r="A11" s="4" t="s">
        <v>15</v>
      </c>
      <c r="B11" s="13" t="s">
        <v>16</v>
      </c>
      <c r="C11" s="5"/>
      <c r="D11" t="s">
        <v>14</v>
      </c>
      <c r="E11" t="s">
        <v>25</v>
      </c>
      <c r="F11" s="10"/>
      <c r="G11" s="10"/>
      <c r="H11" s="20">
        <f>0.25+H12</f>
        <v>0.10500000000000001</v>
      </c>
      <c r="J11" s="13" t="s">
        <v>25</v>
      </c>
      <c r="K11" s="13"/>
      <c r="L11" s="13"/>
      <c r="M11" s="13"/>
      <c r="N11" s="13"/>
      <c r="O11" s="13"/>
    </row>
    <row r="12" spans="1:15" x14ac:dyDescent="0.25">
      <c r="A12" s="4"/>
      <c r="B12" s="13" t="s">
        <v>17</v>
      </c>
      <c r="C12" s="5"/>
      <c r="D12" t="s">
        <v>14</v>
      </c>
      <c r="E12" t="s">
        <v>25</v>
      </c>
      <c r="F12" s="10"/>
      <c r="G12" s="10"/>
      <c r="H12" s="20">
        <v>-0.14499999999999999</v>
      </c>
      <c r="J12" s="13" t="s">
        <v>25</v>
      </c>
      <c r="K12" s="13"/>
      <c r="L12" s="13"/>
      <c r="M12" s="13"/>
      <c r="N12" s="13"/>
      <c r="O12" s="13"/>
    </row>
    <row r="13" spans="1:15" x14ac:dyDescent="0.25">
      <c r="A13" s="4"/>
      <c r="B13" s="5" t="s">
        <v>18</v>
      </c>
      <c r="C13" s="5"/>
      <c r="D13" t="s">
        <v>19</v>
      </c>
      <c r="F13" s="10"/>
      <c r="G13" s="10"/>
      <c r="H13" s="14">
        <v>1000000</v>
      </c>
    </row>
    <row r="14" spans="1:15" x14ac:dyDescent="0.25">
      <c r="A14" s="4"/>
      <c r="B14" s="5" t="s">
        <v>20</v>
      </c>
      <c r="C14" s="5"/>
      <c r="D14" t="s">
        <v>19</v>
      </c>
      <c r="F14" s="10"/>
      <c r="G14" s="10"/>
      <c r="H14" s="14">
        <v>1000000</v>
      </c>
    </row>
    <row r="15" spans="1:15" x14ac:dyDescent="0.25">
      <c r="A15" s="4"/>
      <c r="B15" s="5" t="s">
        <v>21</v>
      </c>
      <c r="C15" s="5"/>
      <c r="D15" t="s">
        <v>19</v>
      </c>
      <c r="F15" s="10"/>
      <c r="G15" s="10"/>
      <c r="H15" s="14">
        <v>150</v>
      </c>
    </row>
    <row r="16" spans="1:15" x14ac:dyDescent="0.25">
      <c r="A16" s="4"/>
      <c r="B16" s="5" t="s">
        <v>22</v>
      </c>
      <c r="C16" s="5"/>
      <c r="D16" t="s">
        <v>19</v>
      </c>
      <c r="F16" s="10"/>
      <c r="G16" s="10"/>
      <c r="H16" s="14">
        <v>150</v>
      </c>
    </row>
    <row r="17" spans="1:10" x14ac:dyDescent="0.25">
      <c r="A17" s="4"/>
      <c r="B17" s="5" t="s">
        <v>23</v>
      </c>
      <c r="C17" s="5"/>
      <c r="D17" t="s">
        <v>14</v>
      </c>
      <c r="F17" s="10"/>
      <c r="G17" s="10"/>
      <c r="H17" s="14">
        <v>1E-4</v>
      </c>
    </row>
    <row r="18" spans="1:10" x14ac:dyDescent="0.25">
      <c r="B18" s="15"/>
      <c r="H18" s="16"/>
    </row>
    <row r="19" spans="1:10" x14ac:dyDescent="0.25">
      <c r="B19" s="15"/>
      <c r="H19" s="16"/>
    </row>
    <row r="21" spans="1:10" x14ac:dyDescent="0.25">
      <c r="J21" s="17" t="s">
        <v>24</v>
      </c>
    </row>
    <row r="22" spans="1:10" x14ac:dyDescent="0.25">
      <c r="J22" s="18">
        <v>20000</v>
      </c>
    </row>
  </sheetData>
  <conditionalFormatting sqref="A4:A6 A11:A19">
    <cfRule type="cellIs" dxfId="5" priority="2" operator="equal">
      <formula>"class"</formula>
    </cfRule>
  </conditionalFormatting>
  <conditionalFormatting sqref="B5:B6 B11:B17">
    <cfRule type="cellIs" dxfId="4" priority="3" operator="equal">
      <formula>"class"</formula>
    </cfRule>
  </conditionalFormatting>
  <conditionalFormatting sqref="A7:B10">
    <cfRule type="cellIs" dxfId="3" priority="1" operator="equal">
      <formula>"class"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5D7F7-56E1-433C-803D-C75DA6F2F5F6}">
  <sheetPr>
    <tabColor theme="8" tint="-0.249977111117893"/>
  </sheetPr>
  <dimension ref="A1:O22"/>
  <sheetViews>
    <sheetView workbookViewId="0">
      <pane xSplit="3" ySplit="1" topLeftCell="D2" activePane="bottomRight" state="frozen"/>
      <selection activeCell="E7" sqref="E7:E10"/>
      <selection pane="topRight" activeCell="E7" sqref="E7:E10"/>
      <selection pane="bottomLeft" activeCell="E7" sqref="E7:E10"/>
      <selection pane="bottomRight" activeCell="O15" sqref="O15"/>
    </sheetView>
  </sheetViews>
  <sheetFormatPr defaultRowHeight="15" x14ac:dyDescent="0.25"/>
  <cols>
    <col min="1" max="1" width="14.42578125" style="15" customWidth="1"/>
    <col min="2" max="2" width="12.7109375" customWidth="1"/>
    <col min="3" max="3" width="15.7109375" customWidth="1"/>
    <col min="4" max="4" width="11.140625" customWidth="1"/>
    <col min="5" max="5" width="16.7109375" customWidth="1"/>
    <col min="6" max="8" width="10" customWidth="1"/>
    <col min="9" max="9" width="6.7109375" customWidth="1"/>
    <col min="10" max="10" width="7.42578125" customWidth="1"/>
    <col min="11" max="15" width="6.7109375" customWidth="1"/>
  </cols>
  <sheetData>
    <row r="1" spans="1:15" x14ac:dyDescent="0.25">
      <c r="A1" s="1"/>
      <c r="B1" s="2"/>
      <c r="C1" s="3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</row>
    <row r="2" spans="1:15" x14ac:dyDescent="0.25">
      <c r="A2" s="4" t="s">
        <v>5</v>
      </c>
      <c r="B2" s="5"/>
      <c r="C2" s="5"/>
      <c r="E2" s="6"/>
      <c r="F2" s="6"/>
      <c r="G2" s="6"/>
      <c r="H2" s="7" t="s">
        <v>6</v>
      </c>
    </row>
    <row r="3" spans="1:15" x14ac:dyDescent="0.25">
      <c r="A3" s="4" t="s">
        <v>7</v>
      </c>
      <c r="B3" s="5"/>
      <c r="C3" s="5"/>
      <c r="F3" s="6"/>
      <c r="G3" s="6"/>
      <c r="H3" s="7" t="s">
        <v>32</v>
      </c>
    </row>
    <row r="4" spans="1:15" x14ac:dyDescent="0.25">
      <c r="A4" s="4" t="s">
        <v>8</v>
      </c>
      <c r="B4" s="8"/>
      <c r="C4" s="8"/>
      <c r="D4" s="8"/>
      <c r="E4" s="8"/>
      <c r="F4" s="8"/>
      <c r="G4" s="8"/>
      <c r="H4" s="9" t="s">
        <v>27</v>
      </c>
    </row>
    <row r="5" spans="1:15" x14ac:dyDescent="0.25">
      <c r="A5" s="4" t="s">
        <v>9</v>
      </c>
      <c r="B5" s="5" t="s">
        <v>10</v>
      </c>
      <c r="C5" s="5"/>
      <c r="D5" t="s">
        <v>11</v>
      </c>
      <c r="F5" s="10"/>
      <c r="G5" s="10"/>
      <c r="H5" s="10">
        <v>-1</v>
      </c>
      <c r="I5" s="10">
        <v>-0.5</v>
      </c>
      <c r="J5" s="10">
        <v>-0.3</v>
      </c>
      <c r="K5" s="10">
        <v>-0.1</v>
      </c>
      <c r="L5" s="10">
        <v>0.1</v>
      </c>
      <c r="M5" s="10">
        <v>0.3</v>
      </c>
      <c r="N5" s="10">
        <v>0.5</v>
      </c>
      <c r="O5" s="10">
        <v>1</v>
      </c>
    </row>
    <row r="6" spans="1:15" x14ac:dyDescent="0.25">
      <c r="A6" s="4"/>
      <c r="B6" s="5" t="s">
        <v>12</v>
      </c>
      <c r="C6" s="5"/>
      <c r="D6" t="s">
        <v>13</v>
      </c>
      <c r="F6" s="10"/>
      <c r="G6" s="10"/>
      <c r="H6" s="11">
        <f t="shared" ref="H6:O6" si="0">H5*$J$22</f>
        <v>-20000</v>
      </c>
      <c r="I6" s="11">
        <f t="shared" si="0"/>
        <v>-10000</v>
      </c>
      <c r="J6" s="11">
        <f t="shared" si="0"/>
        <v>-6000</v>
      </c>
      <c r="K6" s="11">
        <f t="shared" si="0"/>
        <v>-2000</v>
      </c>
      <c r="L6" s="11">
        <f t="shared" si="0"/>
        <v>2000</v>
      </c>
      <c r="M6" s="11">
        <f t="shared" si="0"/>
        <v>6000</v>
      </c>
      <c r="N6" s="11">
        <f t="shared" si="0"/>
        <v>10000</v>
      </c>
      <c r="O6" s="11">
        <f t="shared" si="0"/>
        <v>20000</v>
      </c>
    </row>
    <row r="7" spans="1:15" x14ac:dyDescent="0.25">
      <c r="A7" s="4"/>
      <c r="B7" s="12" t="s">
        <v>28</v>
      </c>
      <c r="C7" s="5"/>
      <c r="D7" t="s">
        <v>14</v>
      </c>
      <c r="E7" t="s">
        <v>25</v>
      </c>
      <c r="F7" s="19">
        <v>1E-3</v>
      </c>
      <c r="G7" s="19">
        <v>0.47799999999999998</v>
      </c>
      <c r="H7" s="19">
        <v>0.83299999999999996</v>
      </c>
      <c r="J7" s="12" t="s">
        <v>25</v>
      </c>
      <c r="K7" s="12"/>
      <c r="L7" s="12"/>
      <c r="M7" s="12"/>
      <c r="N7" s="12"/>
      <c r="O7" s="12"/>
    </row>
    <row r="8" spans="1:15" x14ac:dyDescent="0.25">
      <c r="A8" s="4"/>
      <c r="B8" s="12" t="s">
        <v>29</v>
      </c>
      <c r="C8" s="5"/>
      <c r="D8" t="s">
        <v>14</v>
      </c>
      <c r="E8" t="s">
        <v>25</v>
      </c>
      <c r="F8" s="19">
        <v>1E-3</v>
      </c>
      <c r="G8" s="19">
        <v>-0.47799999999999998</v>
      </c>
      <c r="H8" s="19">
        <v>0.83299999999999996</v>
      </c>
      <c r="J8" s="12" t="s">
        <v>25</v>
      </c>
      <c r="K8" s="12"/>
      <c r="L8" s="12"/>
      <c r="M8" s="12"/>
      <c r="N8" s="12"/>
      <c r="O8" s="12"/>
    </row>
    <row r="9" spans="1:15" x14ac:dyDescent="0.25">
      <c r="A9" s="4"/>
      <c r="B9" s="12" t="s">
        <v>30</v>
      </c>
      <c r="C9" s="5"/>
      <c r="D9" t="s">
        <v>14</v>
      </c>
      <c r="E9" t="s">
        <v>25</v>
      </c>
      <c r="F9" s="19">
        <v>3.0000000000000001E-3</v>
      </c>
      <c r="G9" s="19">
        <v>0.49299999999999999</v>
      </c>
      <c r="H9" s="19">
        <v>0.52300000000000002</v>
      </c>
      <c r="J9" s="12" t="s">
        <v>25</v>
      </c>
      <c r="K9" s="12"/>
      <c r="L9" s="12"/>
      <c r="M9" s="12"/>
      <c r="N9" s="12"/>
      <c r="O9" s="12"/>
    </row>
    <row r="10" spans="1:15" x14ac:dyDescent="0.25">
      <c r="A10" s="4"/>
      <c r="B10" s="12" t="s">
        <v>31</v>
      </c>
      <c r="C10" s="5"/>
      <c r="D10" t="s">
        <v>14</v>
      </c>
      <c r="E10" t="s">
        <v>25</v>
      </c>
      <c r="F10" s="19">
        <v>3.0000000000000001E-3</v>
      </c>
      <c r="G10" s="19">
        <v>-0.49299999999999999</v>
      </c>
      <c r="H10" s="19">
        <v>0.52300000000000002</v>
      </c>
      <c r="J10" s="12" t="s">
        <v>25</v>
      </c>
      <c r="K10" s="12"/>
      <c r="L10" s="12"/>
      <c r="M10" s="12"/>
      <c r="N10" s="12"/>
      <c r="O10" s="12"/>
    </row>
    <row r="11" spans="1:15" x14ac:dyDescent="0.25">
      <c r="A11" s="4" t="s">
        <v>15</v>
      </c>
      <c r="B11" s="13" t="s">
        <v>16</v>
      </c>
      <c r="C11" s="5"/>
      <c r="D11" t="s">
        <v>14</v>
      </c>
      <c r="E11" t="s">
        <v>25</v>
      </c>
      <c r="F11" s="10"/>
      <c r="G11" s="10"/>
      <c r="H11" s="20">
        <v>0.06</v>
      </c>
      <c r="J11" s="13" t="s">
        <v>25</v>
      </c>
      <c r="K11" s="13"/>
      <c r="L11" s="13"/>
      <c r="M11" s="13"/>
      <c r="N11" s="13"/>
      <c r="O11" s="13"/>
    </row>
    <row r="12" spans="1:15" x14ac:dyDescent="0.25">
      <c r="A12" s="4"/>
      <c r="B12" s="13" t="s">
        <v>17</v>
      </c>
      <c r="C12" s="5"/>
      <c r="D12" t="s">
        <v>14</v>
      </c>
      <c r="E12" t="s">
        <v>25</v>
      </c>
      <c r="F12" s="10"/>
      <c r="G12" s="10"/>
      <c r="H12" s="20">
        <v>-0.08</v>
      </c>
      <c r="J12" s="13" t="s">
        <v>25</v>
      </c>
      <c r="K12" s="13"/>
      <c r="L12" s="13"/>
      <c r="M12" s="13"/>
      <c r="N12" s="13"/>
      <c r="O12" s="13"/>
    </row>
    <row r="13" spans="1:15" x14ac:dyDescent="0.25">
      <c r="A13" s="4"/>
      <c r="B13" s="5" t="s">
        <v>18</v>
      </c>
      <c r="C13" s="5"/>
      <c r="D13" t="s">
        <v>19</v>
      </c>
      <c r="F13" s="10"/>
      <c r="G13" s="10"/>
      <c r="H13" s="14">
        <v>1000000</v>
      </c>
    </row>
    <row r="14" spans="1:15" x14ac:dyDescent="0.25">
      <c r="A14" s="4"/>
      <c r="B14" s="5" t="s">
        <v>20</v>
      </c>
      <c r="C14" s="5"/>
      <c r="D14" t="s">
        <v>19</v>
      </c>
      <c r="F14" s="10"/>
      <c r="G14" s="10"/>
      <c r="H14" s="14">
        <v>1000000</v>
      </c>
    </row>
    <row r="15" spans="1:15" x14ac:dyDescent="0.25">
      <c r="A15" s="4"/>
      <c r="B15" s="5" t="s">
        <v>21</v>
      </c>
      <c r="C15" s="5"/>
      <c r="D15" t="s">
        <v>19</v>
      </c>
      <c r="F15" s="10"/>
      <c r="G15" s="10"/>
      <c r="H15" s="14">
        <v>150</v>
      </c>
    </row>
    <row r="16" spans="1:15" x14ac:dyDescent="0.25">
      <c r="A16" s="4"/>
      <c r="B16" s="5" t="s">
        <v>22</v>
      </c>
      <c r="C16" s="5"/>
      <c r="D16" t="s">
        <v>19</v>
      </c>
      <c r="F16" s="10"/>
      <c r="G16" s="10"/>
      <c r="H16" s="14">
        <v>150</v>
      </c>
    </row>
    <row r="17" spans="1:10" x14ac:dyDescent="0.25">
      <c r="A17" s="4"/>
      <c r="B17" s="5" t="s">
        <v>23</v>
      </c>
      <c r="C17" s="5"/>
      <c r="D17" t="s">
        <v>14</v>
      </c>
      <c r="F17" s="10"/>
      <c r="G17" s="10"/>
      <c r="H17" s="14">
        <v>1E-4</v>
      </c>
    </row>
    <row r="18" spans="1:10" x14ac:dyDescent="0.25">
      <c r="B18" s="15"/>
      <c r="H18" s="16"/>
    </row>
    <row r="19" spans="1:10" x14ac:dyDescent="0.25">
      <c r="B19" s="15"/>
      <c r="H19" s="16"/>
    </row>
    <row r="21" spans="1:10" x14ac:dyDescent="0.25">
      <c r="J21" s="17" t="s">
        <v>24</v>
      </c>
    </row>
    <row r="22" spans="1:10" x14ac:dyDescent="0.25">
      <c r="J22" s="18">
        <v>20000</v>
      </c>
    </row>
  </sheetData>
  <conditionalFormatting sqref="A4:A6 A11:A19">
    <cfRule type="cellIs" dxfId="2" priority="4" operator="equal">
      <formula>"class"</formula>
    </cfRule>
  </conditionalFormatting>
  <conditionalFormatting sqref="B5:B6 B11:B17">
    <cfRule type="cellIs" dxfId="1" priority="2" operator="equal">
      <formula>"class"</formula>
    </cfRule>
  </conditionalFormatting>
  <conditionalFormatting sqref="A7:B10">
    <cfRule type="cellIs" dxfId="0" priority="1" operator="equal">
      <formula>"class"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SUV_Landy_TA2PR_f</vt:lpstr>
      <vt:lpstr>SUV_Landy_TA2PRNoSteer_r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Miller</dc:creator>
  <cp:lastModifiedBy>Steve Miller</cp:lastModifiedBy>
  <dcterms:created xsi:type="dcterms:W3CDTF">2019-11-06T14:41:46Z</dcterms:created>
  <dcterms:modified xsi:type="dcterms:W3CDTF">2026-06-15T20:26:57Z</dcterms:modified>
</cp:coreProperties>
</file>