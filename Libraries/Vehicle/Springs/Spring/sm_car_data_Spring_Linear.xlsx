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prings\Spring\"/>
    </mc:Choice>
  </mc:AlternateContent>
  <xr:revisionPtr revIDLastSave="0" documentId="13_ncr:1_{4F33540C-1A74-4207-866F-4F414ADFA2D5}" xr6:coauthVersionLast="47" xr6:coauthVersionMax="47" xr10:uidLastSave="{00000000-0000-0000-0000-000000000000}"/>
  <bookViews>
    <workbookView xWindow="28680" yWindow="-120" windowWidth="29040" windowHeight="15720" tabRatio="948" firstSheet="8" activeTab="8" xr2:uid="{3D91F562-0AFF-4B18-AFD7-69ED25E9BE04}"/>
  </bookViews>
  <sheets>
    <sheet name="Sedan_HambaLG_f" sheetId="11" r:id="rId1"/>
    <sheet name="Sedan_HambaLG_r" sheetId="14" r:id="rId2"/>
    <sheet name="Sedan_HambaLG_stiff_f" sheetId="2" r:id="rId3"/>
    <sheet name="Sedan_HambaLG_stiff_r" sheetId="4" r:id="rId4"/>
    <sheet name="Sedan_HambaLG_Mac_f" sheetId="25" r:id="rId5"/>
    <sheet name="Sedan_Hamba_Mac_f" sheetId="26" r:id="rId6"/>
    <sheet name="Sedan_Hamba_f" sheetId="12" r:id="rId7"/>
    <sheet name="Sedan_Hamba_r" sheetId="13" r:id="rId8"/>
    <sheet name="SUV_Landy_DW_f" sheetId="30" r:id="rId9"/>
    <sheet name="SUV_Landy_TA3_r" sheetId="29" r:id="rId10"/>
    <sheet name="SUV_Landy_TA4Watts_r" sheetId="28" r:id="rId11"/>
    <sheet name="Sedan_Hamba_TwistBeam_r" sheetId="22" r:id="rId12"/>
    <sheet name="Achilles_f" sheetId="18" r:id="rId13"/>
    <sheet name="Achilles_r" sheetId="19" r:id="rId14"/>
    <sheet name="AchillesPush_f" sheetId="23" r:id="rId15"/>
    <sheet name="AchillesPush_r" sheetId="24" r:id="rId16"/>
    <sheet name="Achilles_DW_f" sheetId="20" r:id="rId17"/>
    <sheet name="Achilles_DW_r" sheetId="21" r:id="rId18"/>
    <sheet name="No_Spring" sheetId="15" r:id="rId19"/>
    <sheet name="None" sheetId="31" r:id="rId20"/>
    <sheet name="Bus_Makhulu_A1" sheetId="7" r:id="rId21"/>
    <sheet name="Bus_Makhulu_A2" sheetId="8" r:id="rId22"/>
    <sheet name="Bus_Makhulu_Axle3_A2" sheetId="16" r:id="rId23"/>
    <sheet name="Bus_Makhulu_Axle3_A3" sheetId="17" r:id="rId24"/>
    <sheet name="Trailer_Elula_f" sheetId="9" r:id="rId25"/>
    <sheet name="Trailer_Thwala_f" sheetId="10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7" i="30" l="1"/>
  <c r="H8" i="30"/>
  <c r="H7" i="28"/>
  <c r="H8" i="28"/>
  <c r="H8" i="20"/>
  <c r="H7" i="20"/>
  <c r="G6" i="30"/>
  <c r="G5" i="30"/>
  <c r="F6" i="28"/>
  <c r="F5" i="28"/>
  <c r="F6" i="26" l="1"/>
  <c r="F5" i="26"/>
  <c r="H7" i="24" l="1"/>
  <c r="H7" i="23"/>
  <c r="H8" i="21"/>
  <c r="H7" i="21"/>
  <c r="H7" i="19"/>
  <c r="F6" i="17" l="1"/>
  <c r="F5" i="17"/>
  <c r="F6" i="16"/>
  <c r="F5" i="16"/>
  <c r="H6" i="9" l="1"/>
  <c r="H5" i="9"/>
  <c r="H6" i="10"/>
  <c r="H5" i="10"/>
  <c r="H8" i="10"/>
  <c r="F6" i="8"/>
  <c r="F5" i="8"/>
  <c r="F6" i="7"/>
  <c r="F5" i="7"/>
  <c r="F6" i="13"/>
  <c r="F5" i="13"/>
  <c r="F6" i="12"/>
  <c r="F5" i="12"/>
  <c r="H7" i="18"/>
</calcChain>
</file>

<file path=xl/sharedStrings.xml><?xml version="1.0" encoding="utf-8"?>
<sst xmlns="http://schemas.openxmlformats.org/spreadsheetml/2006/main" count="670" uniqueCount="46">
  <si>
    <t>Units</t>
  </si>
  <si>
    <t>Comments</t>
  </si>
  <si>
    <t>x</t>
  </si>
  <si>
    <t>y</t>
  </si>
  <si>
    <t>z or scalar</t>
  </si>
  <si>
    <t>Type</t>
  </si>
  <si>
    <t>Spring</t>
  </si>
  <si>
    <t>Instance</t>
  </si>
  <si>
    <t>class</t>
  </si>
  <si>
    <t>Linear</t>
  </si>
  <si>
    <t>sTop</t>
  </si>
  <si>
    <t>m</t>
  </si>
  <si>
    <t>sBottom</t>
  </si>
  <si>
    <t>K</t>
  </si>
  <si>
    <t>N/m</t>
  </si>
  <si>
    <t>xPreload</t>
  </si>
  <si>
    <t>Sedan_HambaLG_Linear_A1</t>
  </si>
  <si>
    <t>Sedan_HambaLG_Linear_A2</t>
  </si>
  <si>
    <t>Sedan_HambaLG_Linear_stiff_A1</t>
  </si>
  <si>
    <t>Sedan_Hamba_Linear_A1</t>
  </si>
  <si>
    <t>Sedan_Hamba_Linear_A2</t>
  </si>
  <si>
    <t>Bus_Makhulu_Linear_A1</t>
  </si>
  <si>
    <t>Bus_Makhulu_Linear_A2</t>
  </si>
  <si>
    <t>Trailer_Elula_Linear_A1</t>
  </si>
  <si>
    <t>Trailer_Thwala_Linear_A1</t>
  </si>
  <si>
    <t>Sedan_HambaLG_Linear_stiff_A2</t>
  </si>
  <si>
    <t>No_Spring</t>
  </si>
  <si>
    <t>Bus_Makhulu_Axle3_Linear_A3</t>
  </si>
  <si>
    <t>Bus_Makhulu_Axle3_Linear_A2</t>
  </si>
  <si>
    <t>FSAE_Achilles_Linear_A1</t>
  </si>
  <si>
    <t>FSAE_Achilles_Linear_A2</t>
  </si>
  <si>
    <t>FSAE_Achilles_DW_Linear_A2</t>
  </si>
  <si>
    <t>FSAE_Achilles_DW_Linear_A1</t>
  </si>
  <si>
    <t>Sedan_Hamba_TwistBeam_Linear_A2</t>
  </si>
  <si>
    <t>Must be consistent with values in Linkage</t>
  </si>
  <si>
    <t>FSAE_Achilles_Push_Linear_A2</t>
  </si>
  <si>
    <t>FSAE_Achilles_Push_Linear_A1</t>
  </si>
  <si>
    <t>Sedan_HambaLG_Mac_Linear_A1</t>
  </si>
  <si>
    <t>fPreload</t>
  </si>
  <si>
    <t>N</t>
  </si>
  <si>
    <t>Set either xPreload or fPreload to a nonzero value</t>
  </si>
  <si>
    <t>Sedan_Hamba_Mac_Linear_A1</t>
  </si>
  <si>
    <t>SUV_Landy_TA3_Linear_A2</t>
  </si>
  <si>
    <t>SUV_Landy_TA4Watts_Linear_A2</t>
  </si>
  <si>
    <t>SUV_Landy_DW_Linear_A1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</si>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</sst>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0" fillId="5" borderId="0" xfId="0" applyFill="1" applyAlignment="1">
      <alignment horizontal="left"/>
    </xf>
    <xf numFmtId="0" fontId="0" fillId="5" borderId="0" xfId="0" applyFill="1"/>
    <xf numFmtId="0" fontId="2" fillId="0" borderId="0" xfId="0" applyFont="1"/>
    <xf numFmtId="11" fontId="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4" borderId="0" xfId="0" applyFont="1" applyFill="1"/>
    <xf numFmtId="164" fontId="2" fillId="5" borderId="0" xfId="0" applyNumberFormat="1" applyFont="1" applyFill="1"/>
    <xf numFmtId="2" fontId="2" fillId="5" borderId="0" xfId="0" applyNumberFormat="1" applyFont="1" applyFill="1"/>
    <xf numFmtId="2" fontId="0" fillId="5" borderId="0" xfId="0" applyNumberFormat="1" applyFill="1"/>
    <xf numFmtId="164" fontId="0" fillId="5" borderId="0" xfId="0" applyNumberFormat="1" applyFill="1"/>
  </cellXfs>
  <cellStyles count="1">
    <cellStyle name="Normal" xfId="0" builtinId="0"/>
  </cellStyles>
  <dxfs count="7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CBD77-9933-4E3C-BCD0-0B1CA8925DBF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16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7.1999999999999995E-2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75" priority="1" operator="equal">
      <formula>"class"</formula>
    </cfRule>
  </conditionalFormatting>
  <conditionalFormatting sqref="A17:A18">
    <cfRule type="cellIs" dxfId="74" priority="2" operator="equal">
      <formula>"class"</formula>
    </cfRule>
  </conditionalFormatting>
  <conditionalFormatting sqref="A13:B16">
    <cfRule type="cellIs" dxfId="73" priority="4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6F09-D603-4191-BF8F-1F846ECF027E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17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6.2600000000000003E-2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72" priority="4" operator="equal">
      <formula>"class"</formula>
    </cfRule>
  </conditionalFormatting>
  <conditionalFormatting sqref="A9">
    <cfRule type="cellIs" dxfId="71" priority="1" operator="equal">
      <formula>"class"</formula>
    </cfRule>
  </conditionalFormatting>
  <conditionalFormatting sqref="A17:A18">
    <cfRule type="cellIs" dxfId="70" priority="2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9628-748B-48AE-8660-4360A012DD92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18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210000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5.6899999999999999E-2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9" priority="1" operator="equal">
      <formula>"class"</formula>
    </cfRule>
  </conditionalFormatting>
  <conditionalFormatting sqref="A17:A18">
    <cfRule type="cellIs" dxfId="68" priority="2" operator="equal">
      <formula>"class"</formula>
    </cfRule>
  </conditionalFormatting>
  <conditionalFormatting sqref="A13:B16">
    <cfRule type="cellIs" dxfId="67" priority="4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E4603-A385-4F1B-89CF-AA3F044BE4F0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25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2.6557142857142869E-3</v>
      </c>
      <c r="G5" s="20">
        <v>0.62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-5.5166428571428582E-2</v>
      </c>
      <c r="G6" s="20">
        <v>0.85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120000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7.0000000000000007E-2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66" priority="4" operator="equal">
      <formula>"class"</formula>
    </cfRule>
  </conditionalFormatting>
  <conditionalFormatting sqref="A9">
    <cfRule type="cellIs" dxfId="65" priority="1" operator="equal">
      <formula>"class"</formula>
    </cfRule>
  </conditionalFormatting>
  <conditionalFormatting sqref="A17:A18">
    <cfRule type="cellIs" dxfId="64" priority="2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EEF2C-DE51-4DD3-90EB-61EE5BC0295A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37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-2.5999999999999999E-3</v>
      </c>
      <c r="G5" s="20">
        <v>0.79</v>
      </c>
      <c r="H5" s="20">
        <v>0.81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-2.5999999999999999E-3</v>
      </c>
      <c r="G6" s="20">
        <v>0.85</v>
      </c>
      <c r="H6" s="20">
        <v>0.45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7.1999999999999995E-2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3" priority="1" operator="equal">
      <formula>"class"</formula>
    </cfRule>
  </conditionalFormatting>
  <conditionalFormatting sqref="A17:A18">
    <cfRule type="cellIs" dxfId="62" priority="2" operator="equal">
      <formula>"class"</formula>
    </cfRule>
  </conditionalFormatting>
  <conditionalFormatting sqref="A13:B16">
    <cfRule type="cellIs" dxfId="61" priority="3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9792-2BEE-4A7C-AEC9-9A3377E31C5C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P13" sqref="P13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f>-0.000217+0.05</f>
        <v>4.9783000000000001E-2</v>
      </c>
      <c r="G5" s="19">
        <v>0.65</v>
      </c>
      <c r="H5" s="19">
        <v>0.78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f>-0.000217+0.05</f>
        <v>4.9783000000000001E-2</v>
      </c>
      <c r="G6" s="19">
        <v>0.71599999999999997</v>
      </c>
      <c r="H6" s="19">
        <v>0.42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0.10768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60" priority="1" operator="equal">
      <formula>"class"</formula>
    </cfRule>
  </conditionalFormatting>
  <conditionalFormatting sqref="A17:A18">
    <cfRule type="cellIs" dxfId="59" priority="2" operator="equal">
      <formula>"class"</formula>
    </cfRule>
  </conditionalFormatting>
  <conditionalFormatting sqref="A13:B16">
    <cfRule type="cellIs" dxfId="58" priority="3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841FE-83F0-4C19-B01B-0F9C28669C6D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7" sqref="H7:H9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19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f>-0.000217+0.05</f>
        <v>4.9783000000000001E-2</v>
      </c>
      <c r="G5" s="19">
        <v>0.49198500000000001</v>
      </c>
      <c r="H5" s="19">
        <v>0.52585999999999999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f>-0.000217+0.05</f>
        <v>4.9783000000000001E-2</v>
      </c>
      <c r="G6" s="19">
        <v>0.71599999999999997</v>
      </c>
      <c r="H6" s="19">
        <v>0.15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0.10768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7" priority="1" operator="equal">
      <formula>"class"</formula>
    </cfRule>
  </conditionalFormatting>
  <conditionalFormatting sqref="A17:A18">
    <cfRule type="cellIs" dxfId="56" priority="2" operator="equal">
      <formula>"class"</formula>
    </cfRule>
  </conditionalFormatting>
  <conditionalFormatting sqref="A13:B16">
    <cfRule type="cellIs" dxfId="55" priority="4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1489-D11F-4FE4-835C-D7CEA13E7FEA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20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-0.01387-0.04</f>
        <v>-5.3870000000000001E-2</v>
      </c>
      <c r="G5" s="20">
        <v>0.49195</v>
      </c>
      <c r="H5" s="20">
        <v>0.52285999999999999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-0.013587-0.04</f>
        <v>-5.3587000000000003E-2</v>
      </c>
      <c r="G6" s="20">
        <v>0.71599999999999997</v>
      </c>
      <c r="H6" s="20">
        <v>0.15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8.2799999999999999E-2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54" priority="4" operator="equal">
      <formula>"class"</formula>
    </cfRule>
  </conditionalFormatting>
  <conditionalFormatting sqref="A9">
    <cfRule type="cellIs" dxfId="53" priority="1" operator="equal">
      <formula>"class"</formula>
    </cfRule>
  </conditionalFormatting>
  <conditionalFormatting sqref="A17:A18">
    <cfRule type="cellIs" dxfId="52" priority="2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3532A-0055-495A-92CC-4564E88CCAEA}">
  <sheetPr>
    <tabColor theme="4" tint="-0.249977111117893"/>
  </sheetPr>
  <dimension ref="A1:J18"/>
  <sheetViews>
    <sheetView tabSelected="1"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8" sqref="H8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44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-2.6557142857142869E-3</v>
      </c>
      <c r="G5" s="20">
        <f>0.62-0.25</f>
        <v>0.37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5.5166428571428582E-2</v>
      </c>
      <c r="G6" s="20">
        <f>0.85-0.25</f>
        <v>0.6</v>
      </c>
      <c r="H6" s="20">
        <v>0.19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52000*1.5</f>
        <v>78000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0.1/1.5</f>
        <v>6.6666666666666666E-2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1" priority="1" operator="equal">
      <formula>"class"</formula>
    </cfRule>
  </conditionalFormatting>
  <conditionalFormatting sqref="A17:A18">
    <cfRule type="cellIs" dxfId="50" priority="2" operator="equal">
      <formula>"class"</formula>
    </cfRule>
  </conditionalFormatting>
  <conditionalFormatting sqref="A13:B16">
    <cfRule type="cellIs" dxfId="49" priority="3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C4776-6841-4123-9B26-605C002DCD28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O11" sqref="O11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42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2">
        <v>2E-3</v>
      </c>
      <c r="G5" s="22">
        <v>0.53800000000000003</v>
      </c>
      <c r="H5" s="22">
        <v>0.80200000000000005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2">
        <v>-2.4E-2</v>
      </c>
      <c r="G6" s="22">
        <v>0.54300000000000004</v>
      </c>
      <c r="H6" s="22">
        <v>0.57299999999999995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8" priority="1" operator="equal">
      <formula>"class"</formula>
    </cfRule>
  </conditionalFormatting>
  <conditionalFormatting sqref="A17:A18">
    <cfRule type="cellIs" dxfId="47" priority="2" operator="equal">
      <formula>"class"</formula>
    </cfRule>
  </conditionalFormatting>
  <conditionalFormatting sqref="A13:B16">
    <cfRule type="cellIs" dxfId="46" priority="3" operator="equal">
      <formula>"class"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D496-DF59-409E-A48B-66FD969D114E}">
  <sheetPr>
    <tabColor theme="4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J13" sqref="J13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43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1">
        <f>2.8-2.79</f>
        <v>9.9999999999997868E-3</v>
      </c>
      <c r="G5" s="21">
        <v>0.48549999999999999</v>
      </c>
      <c r="H5" s="21">
        <v>0.9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1">
        <f>2.8-2.79</f>
        <v>9.9999999999997868E-3</v>
      </c>
      <c r="G6" s="21">
        <v>0.48549999999999999</v>
      </c>
      <c r="H6" s="21">
        <v>0.54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52000*1.5</f>
        <v>78000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0.1/1.5</f>
        <v>6.6666666666666666E-2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45" priority="1" operator="equal">
      <formula>"class"</formula>
    </cfRule>
  </conditionalFormatting>
  <conditionalFormatting sqref="A17:A18">
    <cfRule type="cellIs" dxfId="44" priority="2" operator="equal">
      <formula>"class"</formula>
    </cfRule>
  </conditionalFormatting>
  <conditionalFormatting sqref="A13:B16">
    <cfRule type="cellIs" dxfId="43" priority="3" operator="equal">
      <formula>"class"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69F25-0D9B-4A5D-A483-AACA58CC7443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33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0.12</v>
      </c>
      <c r="G5" s="20">
        <v>0.55000000000000004</v>
      </c>
      <c r="H5" s="20">
        <v>0.65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0.12</v>
      </c>
      <c r="G6" s="20">
        <v>0.55000000000000004</v>
      </c>
      <c r="H6" s="20">
        <v>0.25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52000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8.2799999999999999E-2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42" priority="3" operator="equal">
      <formula>"class"</formula>
    </cfRule>
  </conditionalFormatting>
  <conditionalFormatting sqref="A9">
    <cfRule type="cellIs" dxfId="41" priority="1" operator="equal">
      <formula>"class"</formula>
    </cfRule>
  </conditionalFormatting>
  <conditionalFormatting sqref="A17:A18">
    <cfRule type="cellIs" dxfId="40" priority="2" operator="equal">
      <formula>"class"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75E27-4F23-45DF-B815-2A58E614CCF5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J16" sqref="J16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29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-0.18698999999999999</v>
      </c>
      <c r="G5" s="19">
        <v>0.13600000000000001</v>
      </c>
      <c r="H5" s="19">
        <v>8.6370000000000002E-2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-1.342E-2</v>
      </c>
      <c r="G6" s="19">
        <v>0.15826999999999999</v>
      </c>
      <c r="H6" s="19">
        <v>8.8069999999999996E-2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</f>
        <v>43780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9" priority="1" operator="equal">
      <formula>"class"</formula>
    </cfRule>
  </conditionalFormatting>
  <conditionalFormatting sqref="A17:A18">
    <cfRule type="cellIs" dxfId="38" priority="2" operator="equal">
      <formula>"class"</formula>
    </cfRule>
  </conditionalFormatting>
  <conditionalFormatting sqref="A13:B16">
    <cfRule type="cellIs" dxfId="37" priority="4" operator="equal">
      <formula>"class"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819F1-CEED-4A60-B116-BA176ED148CB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30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0.22999</v>
      </c>
      <c r="G5" s="19">
        <v>0.22700000000000001</v>
      </c>
      <c r="H5" s="19">
        <v>0.15606999999999999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5.9749999999999998E-2</v>
      </c>
      <c r="G6" s="19">
        <v>0.26723000000000002</v>
      </c>
      <c r="H6" s="19">
        <v>0.16078999999999999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</f>
        <v>30650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6" priority="1" operator="equal">
      <formula>"class"</formula>
    </cfRule>
  </conditionalFormatting>
  <conditionalFormatting sqref="A17:A18">
    <cfRule type="cellIs" dxfId="35" priority="2" operator="equal">
      <formula>"class"</formula>
    </cfRule>
  </conditionalFormatting>
  <conditionalFormatting sqref="A13:B16">
    <cfRule type="cellIs" dxfId="34" priority="4" operator="equal">
      <formula>"class"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3D3AE-46C7-4F34-AC73-2C191830CCFC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36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0.17019999999999999</v>
      </c>
      <c r="G5" s="19">
        <v>0.15</v>
      </c>
      <c r="H5" s="19">
        <v>0.4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-1.342E-2</v>
      </c>
      <c r="G6" s="19">
        <v>0.15826999999999999</v>
      </c>
      <c r="H6" s="19">
        <v>0.4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</f>
        <v>43780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3" priority="1" operator="equal">
      <formula>"class"</formula>
    </cfRule>
  </conditionalFormatting>
  <conditionalFormatting sqref="A17:A18">
    <cfRule type="cellIs" dxfId="32" priority="2" operator="equal">
      <formula>"class"</formula>
    </cfRule>
  </conditionalFormatting>
  <conditionalFormatting sqref="A13:B16">
    <cfRule type="cellIs" dxfId="31" priority="3" operator="equal">
      <formula>"class"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DF0F-6AE0-4055-9B98-97F7038D423B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35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0.22999</v>
      </c>
      <c r="G5" s="19">
        <v>0.22700000000000001</v>
      </c>
      <c r="H5" s="19">
        <v>0.4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5.9749999999999998E-2</v>
      </c>
      <c r="G6" s="19">
        <v>0.26723000000000002</v>
      </c>
      <c r="H6" s="19">
        <v>0.4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</f>
        <v>30650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30" priority="1" operator="equal">
      <formula>"class"</formula>
    </cfRule>
  </conditionalFormatting>
  <conditionalFormatting sqref="A17:A18">
    <cfRule type="cellIs" dxfId="29" priority="2" operator="equal">
      <formula>"class"</formula>
    </cfRule>
  </conditionalFormatting>
  <conditionalFormatting sqref="A13:B16">
    <cfRule type="cellIs" dxfId="28" priority="3" operator="equal">
      <formula>"class"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F275A-B12B-4AB2-BD05-ACD618B3C10D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H9" sqref="H9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32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19">
        <v>-0.03</v>
      </c>
      <c r="G5" s="19">
        <v>0.22</v>
      </c>
      <c r="H5" s="19">
        <v>0.28000000000000003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19">
        <v>-0.03</v>
      </c>
      <c r="G6" s="19">
        <v>0.25</v>
      </c>
      <c r="H6" s="19">
        <v>0.1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43.78*10000/2/2/2/2*3</f>
        <v>82087.5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0.01*2*2*2*2.2/3</f>
        <v>5.8666666666666673E-2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7" priority="1" operator="equal">
      <formula>"class"</formula>
    </cfRule>
  </conditionalFormatting>
  <conditionalFormatting sqref="A17:A18">
    <cfRule type="cellIs" dxfId="26" priority="2" operator="equal">
      <formula>"class"</formula>
    </cfRule>
  </conditionalFormatting>
  <conditionalFormatting sqref="A13:B16">
    <cfRule type="cellIs" dxfId="25" priority="3" operator="equal">
      <formula>"class"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F0D6-3E7E-4BDA-8817-856CC0C9A380}">
  <sheetPr>
    <tabColor theme="9" tint="0.39997558519241921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31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0.12</v>
      </c>
      <c r="G5" s="19">
        <v>0.22</v>
      </c>
      <c r="H5" s="19">
        <v>0.28000000000000003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0.12</v>
      </c>
      <c r="G6" s="19">
        <v>0.25</v>
      </c>
      <c r="H6" s="19">
        <v>0.1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f>30.65*10000/2/2</f>
        <v>76625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0.01*2*2*1.5</f>
        <v>0.06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4" priority="1" operator="equal">
      <formula>"class"</formula>
    </cfRule>
  </conditionalFormatting>
  <conditionalFormatting sqref="A17:A18">
    <cfRule type="cellIs" dxfId="23" priority="2" operator="equal">
      <formula>"class"</formula>
    </cfRule>
  </conditionalFormatting>
  <conditionalFormatting sqref="A13:B16">
    <cfRule type="cellIs" dxfId="22" priority="3" operator="equal">
      <formula>"class"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2C537-D3E6-4C00-9A05-E96827E0CC18}">
  <sheetPr>
    <tabColor theme="9" tint="0.39997558519241921"/>
  </sheetPr>
  <dimension ref="A1:H14"/>
  <sheetViews>
    <sheetView workbookViewId="0">
      <pane xSplit="3" ySplit="1" topLeftCell="D8" activePane="bottomRight" state="frozen"/>
      <selection activeCell="F16" sqref="F16"/>
      <selection pane="topRight" activeCell="F16" sqref="F16"/>
      <selection pane="bottomLeft" activeCell="F16" sqref="F16"/>
      <selection pane="bottomRight" activeCell="H20" sqref="H20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26</v>
      </c>
    </row>
    <row r="4" spans="1:8" x14ac:dyDescent="0.25">
      <c r="A4" s="8" t="s">
        <v>8</v>
      </c>
      <c r="B4" s="9"/>
      <c r="C4" s="9"/>
      <c r="D4" s="9"/>
      <c r="E4" s="9"/>
      <c r="F4" s="18"/>
      <c r="G4" s="18"/>
      <c r="H4" s="11" t="s">
        <v>26</v>
      </c>
    </row>
    <row r="5" spans="1:8" x14ac:dyDescent="0.25">
      <c r="F5" s="6"/>
      <c r="G5" s="6"/>
      <c r="H5" s="6"/>
    </row>
    <row r="6" spans="1:8" x14ac:dyDescent="0.25">
      <c r="F6" s="6"/>
      <c r="G6" s="6"/>
      <c r="H6" s="6"/>
    </row>
    <row r="7" spans="1:8" x14ac:dyDescent="0.25">
      <c r="F7" s="6"/>
      <c r="G7" s="6"/>
      <c r="H7" s="6"/>
    </row>
    <row r="8" spans="1:8" x14ac:dyDescent="0.25">
      <c r="F8" s="6"/>
      <c r="G8" s="6"/>
      <c r="H8" s="6"/>
    </row>
    <row r="9" spans="1:8" x14ac:dyDescent="0.25">
      <c r="B9" s="16"/>
      <c r="F9" s="6"/>
      <c r="G9" s="6"/>
      <c r="H9" s="6"/>
    </row>
    <row r="10" spans="1:8" x14ac:dyDescent="0.25">
      <c r="B10" s="16"/>
      <c r="F10" s="6"/>
      <c r="G10" s="6"/>
      <c r="H10" s="6"/>
    </row>
    <row r="11" spans="1:8" x14ac:dyDescent="0.25">
      <c r="F11" s="6"/>
      <c r="G11" s="6"/>
      <c r="H11" s="6"/>
    </row>
    <row r="12" spans="1:8" x14ac:dyDescent="0.25">
      <c r="F12" s="6"/>
      <c r="G12" s="6"/>
      <c r="H12" s="6"/>
    </row>
    <row r="13" spans="1:8" x14ac:dyDescent="0.25">
      <c r="B13" s="16"/>
      <c r="H13" s="17"/>
    </row>
    <row r="14" spans="1:8" x14ac:dyDescent="0.25">
      <c r="B14" s="16"/>
      <c r="H14" s="17"/>
    </row>
  </sheetData>
  <conditionalFormatting sqref="A4 A9:B12">
    <cfRule type="cellIs" dxfId="21" priority="3" operator="equal">
      <formula>"class"</formula>
    </cfRule>
  </conditionalFormatting>
  <conditionalFormatting sqref="A13:A14">
    <cfRule type="cellIs" dxfId="20" priority="1" operator="equal">
      <formula>"class"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7D148-8044-4048-89F3-739259E56ACA}">
  <sheetPr>
    <tabColor theme="9" tint="0.39997558519241921"/>
  </sheetPr>
  <dimension ref="A1:H14"/>
  <sheetViews>
    <sheetView workbookViewId="0">
      <pane xSplit="3" ySplit="1" topLeftCell="D2" activePane="bottomRight" state="frozen"/>
      <selection activeCell="F16" sqref="F16"/>
      <selection pane="topRight" activeCell="F16" sqref="F16"/>
      <selection pane="bottomLeft" activeCell="F16" sqref="F16"/>
      <selection pane="bottomRight" activeCell="J21" sqref="J21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8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8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8" x14ac:dyDescent="0.25">
      <c r="A3" s="4" t="s">
        <v>7</v>
      </c>
      <c r="B3" s="5"/>
      <c r="C3" s="5"/>
      <c r="F3" s="6"/>
      <c r="G3" s="6"/>
      <c r="H3" s="7" t="s">
        <v>45</v>
      </c>
    </row>
    <row r="4" spans="1:8" x14ac:dyDescent="0.25">
      <c r="A4" s="8" t="s">
        <v>8</v>
      </c>
      <c r="B4" s="9"/>
      <c r="C4" s="9"/>
      <c r="D4" s="9"/>
      <c r="E4" s="9"/>
      <c r="F4" s="18"/>
      <c r="G4" s="18"/>
      <c r="H4" s="11" t="s">
        <v>45</v>
      </c>
    </row>
    <row r="5" spans="1:8" x14ac:dyDescent="0.25">
      <c r="F5" s="6"/>
      <c r="G5" s="6"/>
      <c r="H5" s="6"/>
    </row>
    <row r="6" spans="1:8" x14ac:dyDescent="0.25">
      <c r="F6" s="6"/>
      <c r="G6" s="6"/>
      <c r="H6" s="6"/>
    </row>
    <row r="7" spans="1:8" x14ac:dyDescent="0.25">
      <c r="F7" s="6"/>
      <c r="G7" s="6"/>
      <c r="H7" s="6"/>
    </row>
    <row r="8" spans="1:8" x14ac:dyDescent="0.25">
      <c r="F8" s="6"/>
      <c r="G8" s="6"/>
      <c r="H8" s="6"/>
    </row>
    <row r="9" spans="1:8" x14ac:dyDescent="0.25">
      <c r="B9" s="16"/>
      <c r="F9" s="6"/>
      <c r="G9" s="6"/>
      <c r="H9" s="6"/>
    </row>
    <row r="10" spans="1:8" x14ac:dyDescent="0.25">
      <c r="B10" s="16"/>
      <c r="F10" s="6"/>
      <c r="G10" s="6"/>
      <c r="H10" s="6"/>
    </row>
    <row r="11" spans="1:8" x14ac:dyDescent="0.25">
      <c r="F11" s="6"/>
      <c r="G11" s="6"/>
      <c r="H11" s="6"/>
    </row>
    <row r="12" spans="1:8" x14ac:dyDescent="0.25">
      <c r="F12" s="6"/>
      <c r="G12" s="6"/>
      <c r="H12" s="6"/>
    </row>
    <row r="13" spans="1:8" x14ac:dyDescent="0.25">
      <c r="B13" s="16"/>
      <c r="H13" s="17"/>
    </row>
    <row r="14" spans="1:8" x14ac:dyDescent="0.25">
      <c r="B14" s="16"/>
      <c r="H14" s="17"/>
    </row>
  </sheetData>
  <conditionalFormatting sqref="A4 A9:B12">
    <cfRule type="cellIs" dxfId="19" priority="2" operator="equal">
      <formula>"class"</formula>
    </cfRule>
  </conditionalFormatting>
  <conditionalFormatting sqref="A13:A14">
    <cfRule type="cellIs" dxfId="18" priority="1" operator="equal">
      <formula>"class"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EA3D-CA4A-4411-BDB9-9A90AAE09859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21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-0.0022+0.02</f>
        <v>1.78E-2</v>
      </c>
      <c r="G5" s="20">
        <v>0.68</v>
      </c>
      <c r="H5" s="20">
        <v>0.73380000000000001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0.0457+0.02</f>
        <v>6.5699999999999995E-2</v>
      </c>
      <c r="G6" s="20">
        <v>0.74</v>
      </c>
      <c r="H6" s="20">
        <v>0.28999999999999998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6.5000000000000002E-2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17" priority="1" operator="equal">
      <formula>"class"</formula>
    </cfRule>
  </conditionalFormatting>
  <conditionalFormatting sqref="A17:A18">
    <cfRule type="cellIs" dxfId="16" priority="2" operator="equal">
      <formula>"class"</formula>
    </cfRule>
  </conditionalFormatting>
  <conditionalFormatting sqref="A13:B16">
    <cfRule type="cellIs" dxfId="15" priority="4" operator="equal">
      <formula>"class"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CC10D-6FA6-4F08-9D15-E6E1F180CE05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22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0.11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14" priority="4" operator="equal">
      <formula>"class"</formula>
    </cfRule>
  </conditionalFormatting>
  <conditionalFormatting sqref="A9">
    <cfRule type="cellIs" dxfId="13" priority="1" operator="equal">
      <formula>"class"</formula>
    </cfRule>
  </conditionalFormatting>
  <conditionalFormatting sqref="A17:A18">
    <cfRule type="cellIs" dxfId="12" priority="2" operator="equal">
      <formula>"class"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C07A9-B603-4832-87B3-F4F0D2D0838D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28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11" priority="4" operator="equal">
      <formula>"class"</formula>
    </cfRule>
  </conditionalFormatting>
  <conditionalFormatting sqref="A9">
    <cfRule type="cellIs" dxfId="10" priority="1" operator="equal">
      <formula>"class"</formula>
    </cfRule>
  </conditionalFormatting>
  <conditionalFormatting sqref="A17:A18">
    <cfRule type="cellIs" dxfId="9" priority="2" operator="equal">
      <formula>"class"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8E2E8-49B1-4E2D-BDAC-17E912B3DA25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27</v>
      </c>
    </row>
    <row r="4" spans="1:10" x14ac:dyDescent="0.25">
      <c r="A4" s="8" t="s">
        <v>8</v>
      </c>
      <c r="B4" s="9"/>
      <c r="C4" s="9"/>
      <c r="D4" s="9"/>
      <c r="E4" s="9"/>
      <c r="F4" s="18"/>
      <c r="G4" s="18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f>-0.07</f>
        <v>-7.0000000000000007E-2</v>
      </c>
      <c r="G5" s="20">
        <v>0.62</v>
      </c>
      <c r="H5" s="20">
        <v>0.73650000000000015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f>-0.0013-0.05</f>
        <v>-5.1300000000000005E-2</v>
      </c>
      <c r="G6" s="20">
        <v>0.68</v>
      </c>
      <c r="H6" s="20">
        <v>0.26040000000000008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5.5E-2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 A5:B8 A13:B16">
    <cfRule type="cellIs" dxfId="8" priority="4" operator="equal">
      <formula>"class"</formula>
    </cfRule>
  </conditionalFormatting>
  <conditionalFormatting sqref="A9">
    <cfRule type="cellIs" dxfId="7" priority="1" operator="equal">
      <formula>"class"</formula>
    </cfRule>
  </conditionalFormatting>
  <conditionalFormatting sqref="A17:A18">
    <cfRule type="cellIs" dxfId="6" priority="2" operator="equal">
      <formula>"class"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39DE2-06C1-44E9-A918-9BFFD76A0F7B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23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5.5E-2</v>
      </c>
      <c r="G5" s="20">
        <v>0.51</v>
      </c>
      <c r="H5" s="20">
        <f>0.5504-0.08-0.08</f>
        <v>0.39039999999999997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-1.2999999999999999E-3</v>
      </c>
      <c r="G6" s="20">
        <v>0.68</v>
      </c>
      <c r="H6" s="20">
        <f>0.1552+0.08-0.07</f>
        <v>0.16520000000000001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v>0.05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5" priority="1" operator="equal">
      <formula>"class"</formula>
    </cfRule>
  </conditionalFormatting>
  <conditionalFormatting sqref="A17:A18">
    <cfRule type="cellIs" dxfId="4" priority="2" operator="equal">
      <formula>"class"</formula>
    </cfRule>
  </conditionalFormatting>
  <conditionalFormatting sqref="A13:B16">
    <cfRule type="cellIs" dxfId="3" priority="4" operator="equal">
      <formula>"class"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D9383-A18E-4DE0-B12B-C71D23B94F42}">
  <sheetPr>
    <tabColor theme="8" tint="-0.249977111117893"/>
  </sheetPr>
  <dimension ref="A1:J18"/>
  <sheetViews>
    <sheetView workbookViewId="0">
      <pane xSplit="3" ySplit="1" topLeftCell="D2" activePane="bottomRight" state="frozen"/>
      <selection activeCell="F14" sqref="F14"/>
      <selection pane="topRight" activeCell="F14" sqref="F14"/>
      <selection pane="bottomLeft" activeCell="F14" sqref="F14"/>
      <selection pane="bottomRight" activeCell="F14" sqref="F14"/>
    </sheetView>
  </sheetViews>
  <sheetFormatPr defaultRowHeight="15" x14ac:dyDescent="0.25"/>
  <cols>
    <col min="1" max="1" width="14.42578125" style="16" customWidth="1"/>
    <col min="2" max="2" width="12.7109375" customWidth="1"/>
    <col min="3" max="5" width="11.140625" customWidth="1"/>
    <col min="6" max="8" width="10" customWidth="1"/>
    <col min="9" max="9" width="6.7109375" customWidth="1"/>
    <col min="10" max="10" width="38.5703125" bestFit="1" customWidth="1"/>
    <col min="11" max="15" width="6.710937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24</v>
      </c>
    </row>
    <row r="4" spans="1:10" x14ac:dyDescent="0.25">
      <c r="A4" s="8" t="s">
        <v>8</v>
      </c>
      <c r="B4" s="9"/>
      <c r="C4" s="5"/>
      <c r="D4" s="9"/>
      <c r="E4" s="9"/>
      <c r="F4" s="10"/>
      <c r="G4" s="10"/>
      <c r="H4" s="11" t="s">
        <v>9</v>
      </c>
    </row>
    <row r="5" spans="1:10" x14ac:dyDescent="0.25">
      <c r="A5" s="12" t="s">
        <v>10</v>
      </c>
      <c r="B5" s="5"/>
      <c r="C5" s="5"/>
      <c r="D5" t="s">
        <v>11</v>
      </c>
      <c r="E5" t="s">
        <v>34</v>
      </c>
      <c r="F5" s="20">
        <v>5.5E-2</v>
      </c>
      <c r="G5" s="20">
        <v>0.51</v>
      </c>
      <c r="H5" s="20">
        <f>0.5504-0.08-0.08</f>
        <v>0.39039999999999997</v>
      </c>
      <c r="J5" s="13" t="s">
        <v>34</v>
      </c>
    </row>
    <row r="6" spans="1:10" x14ac:dyDescent="0.25">
      <c r="A6" s="12" t="s">
        <v>12</v>
      </c>
      <c r="B6" s="5"/>
      <c r="C6" s="5"/>
      <c r="D6" t="s">
        <v>11</v>
      </c>
      <c r="E6" t="s">
        <v>34</v>
      </c>
      <c r="F6" s="20">
        <v>-1.2999999999999999E-3</v>
      </c>
      <c r="G6" s="20">
        <v>0.68</v>
      </c>
      <c r="H6" s="20">
        <f>0.1552+0.08-0.07</f>
        <v>0.16520000000000001</v>
      </c>
      <c r="J6" s="13" t="s">
        <v>34</v>
      </c>
    </row>
    <row r="7" spans="1:10" x14ac:dyDescent="0.25">
      <c r="A7" s="4" t="s">
        <v>13</v>
      </c>
      <c r="B7" s="5"/>
      <c r="C7" s="5"/>
      <c r="D7" t="s">
        <v>14</v>
      </c>
      <c r="F7" s="14"/>
      <c r="G7" s="14"/>
      <c r="H7" s="15">
        <v>140000</v>
      </c>
    </row>
    <row r="8" spans="1:10" x14ac:dyDescent="0.25">
      <c r="A8" s="4" t="s">
        <v>15</v>
      </c>
      <c r="B8" s="5"/>
      <c r="C8" s="5"/>
      <c r="D8" t="s">
        <v>11</v>
      </c>
      <c r="E8" s="14" t="s">
        <v>40</v>
      </c>
      <c r="G8" s="14"/>
      <c r="H8" s="6">
        <f>0.05-0.0449</f>
        <v>5.1000000000000004E-3</v>
      </c>
    </row>
    <row r="9" spans="1:10" x14ac:dyDescent="0.25">
      <c r="A9" s="4" t="s">
        <v>38</v>
      </c>
      <c r="B9" s="5"/>
      <c r="C9" s="5"/>
      <c r="D9" t="s">
        <v>39</v>
      </c>
      <c r="E9" s="14" t="s">
        <v>40</v>
      </c>
      <c r="G9" s="14"/>
      <c r="H9" s="6">
        <v>0</v>
      </c>
    </row>
    <row r="10" spans="1:10" x14ac:dyDescent="0.25">
      <c r="F10" s="6"/>
      <c r="G10" s="6"/>
      <c r="H10" s="6"/>
    </row>
    <row r="11" spans="1:10" x14ac:dyDescent="0.25">
      <c r="F11" s="6"/>
      <c r="G11" s="6"/>
      <c r="H11" s="6"/>
    </row>
    <row r="12" spans="1:10" x14ac:dyDescent="0.25">
      <c r="F12" s="6"/>
      <c r="G12" s="6"/>
      <c r="H12" s="6"/>
    </row>
    <row r="13" spans="1:10" x14ac:dyDescent="0.25">
      <c r="B13" s="16"/>
      <c r="F13" s="6"/>
      <c r="G13" s="6"/>
      <c r="H13" s="6"/>
    </row>
    <row r="14" spans="1:10" x14ac:dyDescent="0.25">
      <c r="B14" s="16"/>
      <c r="F14" s="6"/>
      <c r="G14" s="6"/>
      <c r="H14" s="6"/>
    </row>
    <row r="15" spans="1:10" x14ac:dyDescent="0.25">
      <c r="F15" s="6"/>
      <c r="G15" s="6"/>
      <c r="H15" s="6"/>
    </row>
    <row r="16" spans="1:10" x14ac:dyDescent="0.25">
      <c r="F16" s="6"/>
      <c r="G16" s="6"/>
      <c r="H16" s="6"/>
    </row>
    <row r="17" spans="2:8" x14ac:dyDescent="0.25">
      <c r="B17" s="16"/>
      <c r="H17" s="17"/>
    </row>
    <row r="18" spans="2:8" x14ac:dyDescent="0.25">
      <c r="B18" s="16"/>
      <c r="H18" s="17"/>
    </row>
  </sheetData>
  <conditionalFormatting sqref="A4:A9">
    <cfRule type="cellIs" dxfId="2" priority="1" operator="equal">
      <formula>"class"</formula>
    </cfRule>
  </conditionalFormatting>
  <conditionalFormatting sqref="A17:A18">
    <cfRule type="cellIs" dxfId="1" priority="2" operator="equal">
      <formula>"class"</formula>
    </cfRule>
  </conditionalFormatting>
  <conditionalFormatting sqref="A13:B16">
    <cfRule type="cellIs" dxfId="0" priority="4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Sedan_HambaLG_f</vt:lpstr>
      <vt:lpstr>Sedan_HambaLG_r</vt:lpstr>
      <vt:lpstr>Sedan_HambaLG_stiff_f</vt:lpstr>
      <vt:lpstr>Sedan_HambaLG_stiff_r</vt:lpstr>
      <vt:lpstr>Sedan_HambaLG_Mac_f</vt:lpstr>
      <vt:lpstr>Sedan_Hamba_Mac_f</vt:lpstr>
      <vt:lpstr>Sedan_Hamba_f</vt:lpstr>
      <vt:lpstr>Sedan_Hamba_r</vt:lpstr>
      <vt:lpstr>SUV_Landy_DW_f</vt:lpstr>
      <vt:lpstr>SUV_Landy_TA3_r</vt:lpstr>
      <vt:lpstr>SUV_Landy_TA4Watts_r</vt:lpstr>
      <vt:lpstr>Sedan_Hamba_TwistBeam_r</vt:lpstr>
      <vt:lpstr>Achilles_f</vt:lpstr>
      <vt:lpstr>Achilles_r</vt:lpstr>
      <vt:lpstr>AchillesPush_f</vt:lpstr>
      <vt:lpstr>AchillesPush_r</vt:lpstr>
      <vt:lpstr>Achilles_DW_f</vt:lpstr>
      <vt:lpstr>Achilles_DW_r</vt:lpstr>
      <vt:lpstr>No_Spring</vt:lpstr>
      <vt:lpstr>None</vt:lpstr>
      <vt:lpstr>Bus_Makhulu_A1</vt:lpstr>
      <vt:lpstr>Bus_Makhulu_A2</vt:lpstr>
      <vt:lpstr>Bus_Makhulu_Axle3_A2</vt:lpstr>
      <vt:lpstr>Bus_Makhulu_Axle3_A3</vt:lpstr>
      <vt:lpstr>Trailer_Elula_f</vt:lpstr>
      <vt:lpstr>Trailer_Thwala_f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2019-11-06T14:17:00Z</dcterms:created>
  <dcterms:modified xsi:type="dcterms:W3CDTF">2026-02-28T17:03:46Z</dcterms:modified>
</cp:coreProperties>
</file>