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9FA350F5-8F4B-40E0-91F6-65A06C49854F}" xr6:coauthVersionLast="47" xr6:coauthVersionMax="47" xr10:uidLastSave="{00000000-0000-0000-0000-000000000000}"/>
  <bookViews>
    <workbookView xWindow="1305" yWindow="720" windowWidth="25545" windowHeight="10215" tabRatio="988" activeTab="1" xr2:uid="{5C9B011B-FECB-46A4-81D1-C980D278E613}"/>
  </bookViews>
  <sheets>
    <sheet name="BUJAx3_SLGf_S2LAF_LAF" sheetId="54" r:id="rId1"/>
    <sheet name="BUJAx3_SLGf_S2LAF_LAR" sheetId="5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55" l="1"/>
  <c r="O31" i="55"/>
  <c r="N31" i="55"/>
  <c r="M31" i="55"/>
  <c r="L31" i="55"/>
  <c r="K31" i="55"/>
  <c r="J31" i="55"/>
  <c r="I31" i="55"/>
  <c r="H31" i="55"/>
  <c r="P27" i="55"/>
  <c r="O27" i="55"/>
  <c r="N27" i="55"/>
  <c r="M27" i="55"/>
  <c r="L27" i="55"/>
  <c r="K27" i="55"/>
  <c r="J27" i="55"/>
  <c r="I27" i="55"/>
  <c r="H27" i="55"/>
  <c r="P23" i="55"/>
  <c r="O23" i="55"/>
  <c r="N23" i="55"/>
  <c r="M23" i="55"/>
  <c r="L23" i="55"/>
  <c r="K23" i="55"/>
  <c r="J23" i="55"/>
  <c r="I23" i="55"/>
  <c r="H23" i="55"/>
  <c r="P19" i="55"/>
  <c r="O19" i="55"/>
  <c r="N19" i="55"/>
  <c r="M19" i="55"/>
  <c r="L19" i="55"/>
  <c r="K19" i="55"/>
  <c r="J19" i="55"/>
  <c r="I19" i="55"/>
  <c r="H19" i="55"/>
  <c r="P15" i="55"/>
  <c r="O15" i="55"/>
  <c r="N15" i="55"/>
  <c r="M15" i="55"/>
  <c r="L15" i="55"/>
  <c r="K15" i="55"/>
  <c r="J15" i="55"/>
  <c r="I15" i="55"/>
  <c r="H15" i="55"/>
  <c r="P11" i="55"/>
  <c r="O11" i="55"/>
  <c r="N11" i="55"/>
  <c r="M11" i="55"/>
  <c r="L11" i="55"/>
  <c r="K11" i="55"/>
  <c r="J11" i="55"/>
  <c r="I11" i="55"/>
  <c r="H11" i="55"/>
  <c r="H6" i="55"/>
  <c r="G6" i="55"/>
  <c r="F6" i="55"/>
  <c r="H5" i="55"/>
  <c r="G5" i="55"/>
  <c r="F5" i="55"/>
  <c r="P31" i="54"/>
  <c r="O31" i="54"/>
  <c r="N31" i="54"/>
  <c r="M31" i="54"/>
  <c r="L31" i="54"/>
  <c r="K31" i="54"/>
  <c r="J31" i="54"/>
  <c r="I31" i="54"/>
  <c r="H31" i="54"/>
  <c r="P27" i="54"/>
  <c r="O27" i="54"/>
  <c r="N27" i="54"/>
  <c r="M27" i="54"/>
  <c r="L27" i="54"/>
  <c r="K27" i="54"/>
  <c r="J27" i="54"/>
  <c r="I27" i="54"/>
  <c r="H27" i="54"/>
  <c r="P23" i="54"/>
  <c r="O23" i="54"/>
  <c r="N23" i="54"/>
  <c r="M23" i="54"/>
  <c r="L23" i="54"/>
  <c r="K23" i="54"/>
  <c r="J23" i="54"/>
  <c r="I23" i="54"/>
  <c r="H23" i="54"/>
  <c r="P19" i="54"/>
  <c r="O19" i="54"/>
  <c r="N19" i="54"/>
  <c r="M19" i="54"/>
  <c r="L19" i="54"/>
  <c r="K19" i="54"/>
  <c r="J19" i="54"/>
  <c r="I19" i="54"/>
  <c r="H19" i="54"/>
  <c r="P15" i="54"/>
  <c r="O15" i="54"/>
  <c r="N15" i="54"/>
  <c r="M15" i="54"/>
  <c r="L15" i="54"/>
  <c r="K15" i="54"/>
  <c r="J15" i="54"/>
  <c r="I15" i="54"/>
  <c r="H15" i="54"/>
  <c r="P11" i="54"/>
  <c r="O11" i="54"/>
  <c r="N11" i="54"/>
  <c r="M11" i="54"/>
  <c r="L11" i="54"/>
  <c r="K11" i="54"/>
  <c r="J11" i="54"/>
  <c r="I11" i="54"/>
  <c r="H11" i="54"/>
  <c r="H6" i="54"/>
  <c r="G6" i="54"/>
  <c r="F6" i="54"/>
  <c r="H5" i="54"/>
  <c r="G5" i="54"/>
  <c r="F5" i="54"/>
</calcChain>
</file>

<file path=xl/sharedStrings.xml><?xml version="1.0" encoding="utf-8"?>
<sst xmlns="http://schemas.openxmlformats.org/spreadsheetml/2006/main" count="182" uniqueCount="37">
  <si>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</si>
  <si>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</si>
  <si>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</si>
  <si>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</si>
  <si>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</si>
  <si>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</si>
  <si>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</si>
  <si>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</si>
  <si>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</si>
  <si>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</si>
  <si>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</si>
  <si>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</si>
  <si>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</si>
  <si>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</si>
  <si>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</si>
  <si>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</si>
  <si>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</si>
  <si>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</si>
  <si>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</si>
  <si>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</si>
  <si>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</si>
  <si>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</si>
  <si>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m</t>
  </si>
  <si>
    <t>SpringX</t>
  </si>
  <si>
    <t>DamperX</t>
  </si>
  <si>
    <t>SpringY</t>
  </si>
  <si>
    <t>DamperY</t>
  </si>
  <si>
    <t>SpringZ</t>
  </si>
  <si>
    <t>DamperZ</t>
  </si>
  <si>
    <t>Bushing_Ax3</t>
  </si>
  <si>
    <t>sAxialOrientationZ</t>
  </si>
  <si>
    <t>sAxialOrientationX</t>
  </si>
  <si>
    <t>sMount</t>
  </si>
  <si>
    <t>BushLink_Ax3_SLGf_S2LAF_LAF</t>
  </si>
  <si>
    <t>BushLink_Ax3_SLGf_S2LAF_LAR</t>
  </si>
  <si>
    <t>AxisAttachment</t>
  </si>
  <si>
    <t>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</si>
</sst>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</cellXfs>
  <cellStyles count="2">
    <cellStyle name="Normal" xfId="0" builtinId="0"/>
    <cellStyle name="Normal 2" xfId="1" xr:uid="{59B68FC0-DF65-45B7-9161-1BA244C01964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E88F-F887-4490-AE71-EBBA6461822B}">
  <sheetPr>
    <tabColor theme="9" tint="0.59999389629810485"/>
  </sheetPr>
  <dimension ref="A1:R54"/>
  <sheetViews>
    <sheetView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H7" sqref="H7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7" width="9.140625" style="4"/>
    <col min="19" max="16384" width="9.140625" style="4"/>
  </cols>
  <sheetData>
    <row r="1" spans="1:1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8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8" x14ac:dyDescent="0.25">
      <c r="A3" s="15" t="s">
        <v>19</v>
      </c>
      <c r="B3" s="16"/>
      <c r="C3" s="16"/>
      <c r="D3" s="16"/>
      <c r="E3" s="16"/>
      <c r="F3" s="17"/>
      <c r="G3" s="17"/>
      <c r="H3" s="18" t="s">
        <v>29</v>
      </c>
    </row>
    <row r="4" spans="1:18" x14ac:dyDescent="0.25">
      <c r="A4" s="5" t="s">
        <v>6</v>
      </c>
      <c r="B4" s="6"/>
      <c r="C4" s="6"/>
      <c r="F4" s="7"/>
      <c r="G4" s="7"/>
      <c r="H4" s="8" t="s">
        <v>33</v>
      </c>
      <c r="J4" s="4" t="s">
        <v>32</v>
      </c>
    </row>
    <row r="5" spans="1:18" x14ac:dyDescent="0.25">
      <c r="A5" s="5" t="s">
        <v>30</v>
      </c>
      <c r="B5" s="6"/>
      <c r="C5" s="6"/>
      <c r="D5" s="4" t="s">
        <v>22</v>
      </c>
      <c r="F5" s="19">
        <f>J5+0.01</f>
        <v>9.9999999999999992E-2</v>
      </c>
      <c r="G5" s="19">
        <f>K5</f>
        <v>0.44059999999999999</v>
      </c>
      <c r="H5" s="19">
        <f>L5</f>
        <v>0.191</v>
      </c>
      <c r="J5" s="4">
        <v>0.09</v>
      </c>
      <c r="K5" s="4">
        <v>0.44059999999999999</v>
      </c>
      <c r="L5" s="4">
        <v>0.191</v>
      </c>
    </row>
    <row r="6" spans="1:18" x14ac:dyDescent="0.25">
      <c r="A6" s="5" t="s">
        <v>31</v>
      </c>
      <c r="B6" s="6"/>
      <c r="C6" s="6"/>
      <c r="D6" s="4" t="s">
        <v>22</v>
      </c>
      <c r="F6" s="19">
        <f>J5</f>
        <v>0.09</v>
      </c>
      <c r="G6" s="19">
        <f>K5</f>
        <v>0.44059999999999999</v>
      </c>
      <c r="H6" s="19">
        <f>L5+0.01</f>
        <v>0.20100000000000001</v>
      </c>
    </row>
    <row r="7" spans="1:18" x14ac:dyDescent="0.25">
      <c r="A7" s="5" t="s">
        <v>35</v>
      </c>
      <c r="B7" s="15" t="s">
        <v>19</v>
      </c>
      <c r="C7" s="16"/>
      <c r="D7" s="16"/>
      <c r="E7" s="16"/>
      <c r="F7" s="16"/>
      <c r="G7" s="17"/>
      <c r="H7" s="18" t="s">
        <v>36</v>
      </c>
      <c r="R7" s="4"/>
    </row>
    <row r="8" spans="1:18" x14ac:dyDescent="0.25">
      <c r="A8" s="5" t="s">
        <v>23</v>
      </c>
      <c r="B8" s="6" t="s">
        <v>16</v>
      </c>
      <c r="C8" s="6"/>
      <c r="E8" s="4" t="s">
        <v>18</v>
      </c>
      <c r="H8" s="14" t="s">
        <v>7</v>
      </c>
    </row>
    <row r="9" spans="1:18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8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2">
        <v>-4</v>
      </c>
      <c r="I10" s="13">
        <v>-3</v>
      </c>
      <c r="J10" s="13">
        <v>-2</v>
      </c>
      <c r="K10" s="13">
        <v>-1</v>
      </c>
      <c r="L10" s="13">
        <v>0</v>
      </c>
      <c r="M10" s="12">
        <v>1</v>
      </c>
      <c r="N10" s="12">
        <v>2</v>
      </c>
      <c r="O10" s="12">
        <v>3</v>
      </c>
      <c r="P10" s="13">
        <v>4</v>
      </c>
    </row>
    <row r="11" spans="1:18" x14ac:dyDescent="0.25">
      <c r="A11" s="5"/>
      <c r="B11" s="5"/>
      <c r="C11" s="6" t="s">
        <v>12</v>
      </c>
      <c r="D11" s="4" t="s">
        <v>13</v>
      </c>
      <c r="F11" s="9"/>
      <c r="G11" s="9"/>
      <c r="H11" s="12">
        <f>-4*P34</f>
        <v>-4000</v>
      </c>
      <c r="I11" s="13">
        <f>-2.75*P34</f>
        <v>-2750</v>
      </c>
      <c r="J11" s="13">
        <f>-1.5*P34</f>
        <v>-1500</v>
      </c>
      <c r="K11" s="13">
        <f>-0.5*P34</f>
        <v>-500</v>
      </c>
      <c r="L11" s="13">
        <f>0*P34</f>
        <v>0</v>
      </c>
      <c r="M11" s="12">
        <f>0.5*P34</f>
        <v>500</v>
      </c>
      <c r="N11" s="12">
        <f>1.5*P34</f>
        <v>1500</v>
      </c>
      <c r="O11" s="12">
        <f>2.75*P34</f>
        <v>2750</v>
      </c>
      <c r="P11" s="13">
        <f>4*P34</f>
        <v>4000</v>
      </c>
    </row>
    <row r="12" spans="1:18" x14ac:dyDescent="0.25">
      <c r="A12" s="5" t="s">
        <v>24</v>
      </c>
      <c r="B12" s="6" t="s">
        <v>16</v>
      </c>
      <c r="C12" s="6"/>
      <c r="E12" s="4" t="s">
        <v>18</v>
      </c>
      <c r="H12" s="14" t="s">
        <v>7</v>
      </c>
      <c r="I12" s="13"/>
      <c r="J12" s="13"/>
      <c r="K12" s="13"/>
    </row>
    <row r="13" spans="1:18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3"/>
      <c r="J13" s="13"/>
      <c r="K13" s="13"/>
    </row>
    <row r="14" spans="1:18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2">
        <v>-4</v>
      </c>
      <c r="I14" s="13">
        <v>-3</v>
      </c>
      <c r="J14" s="13">
        <v>-2</v>
      </c>
      <c r="K14" s="13">
        <v>-1</v>
      </c>
      <c r="L14" s="13">
        <v>0</v>
      </c>
      <c r="M14" s="12">
        <v>1</v>
      </c>
      <c r="N14" s="12">
        <v>2</v>
      </c>
      <c r="O14" s="12">
        <v>3</v>
      </c>
      <c r="P14" s="13">
        <v>4</v>
      </c>
    </row>
    <row r="15" spans="1:18" x14ac:dyDescent="0.25">
      <c r="A15" s="6"/>
      <c r="B15" s="5"/>
      <c r="C15" s="6" t="s">
        <v>12</v>
      </c>
      <c r="D15" s="4" t="s">
        <v>13</v>
      </c>
      <c r="F15" s="9"/>
      <c r="G15" s="9"/>
      <c r="H15" s="12">
        <f>-4*P38</f>
        <v>-4000</v>
      </c>
      <c r="I15" s="13">
        <f>-2.75*P38</f>
        <v>-2750</v>
      </c>
      <c r="J15" s="13">
        <f>-1.5*P38</f>
        <v>-1500</v>
      </c>
      <c r="K15" s="13">
        <f>-0.5*P38</f>
        <v>-500</v>
      </c>
      <c r="L15" s="13">
        <f>0*P38</f>
        <v>0</v>
      </c>
      <c r="M15" s="12">
        <f>0.5*P38</f>
        <v>500</v>
      </c>
      <c r="N15" s="12">
        <f>1.5*P38</f>
        <v>1500</v>
      </c>
      <c r="O15" s="12">
        <f>2.75*P38</f>
        <v>2750</v>
      </c>
      <c r="P15" s="13">
        <f>4*P38</f>
        <v>4000</v>
      </c>
    </row>
    <row r="16" spans="1:18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4" t="s">
        <v>7</v>
      </c>
      <c r="I16" s="13"/>
      <c r="J16" s="13"/>
      <c r="K16" s="13"/>
      <c r="L16" s="13"/>
      <c r="M16" s="12"/>
      <c r="N16" s="12"/>
      <c r="O16" s="12"/>
      <c r="P16" s="13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2">
        <v>-4</v>
      </c>
      <c r="I18" s="13">
        <v>-3</v>
      </c>
      <c r="J18" s="13">
        <v>-2</v>
      </c>
      <c r="K18" s="13">
        <v>-1</v>
      </c>
      <c r="L18" s="13">
        <v>0</v>
      </c>
      <c r="M18" s="12">
        <v>1</v>
      </c>
      <c r="N18" s="12">
        <v>2</v>
      </c>
      <c r="O18" s="12">
        <v>3</v>
      </c>
      <c r="P18" s="13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2">
        <f>-4*P42</f>
        <v>-4000</v>
      </c>
      <c r="I19" s="13">
        <f>-2.75*P42</f>
        <v>-2750</v>
      </c>
      <c r="J19" s="13">
        <f>-1.5*P42</f>
        <v>-1500</v>
      </c>
      <c r="K19" s="13">
        <f>-0.5*P42</f>
        <v>-500</v>
      </c>
      <c r="L19" s="13">
        <f>0*P42</f>
        <v>0</v>
      </c>
      <c r="M19" s="12">
        <f>0.5*P42</f>
        <v>500</v>
      </c>
      <c r="N19" s="12">
        <f>1.5*P42</f>
        <v>1500</v>
      </c>
      <c r="O19" s="12">
        <f>2.75*P42</f>
        <v>2750</v>
      </c>
      <c r="P19" s="13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4" t="s">
        <v>7</v>
      </c>
      <c r="I20" s="13"/>
      <c r="J20" s="13"/>
      <c r="K20" s="13"/>
      <c r="L20" s="13"/>
      <c r="M20" s="12"/>
      <c r="N20" s="12"/>
      <c r="O20" s="12"/>
      <c r="P20" s="13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3"/>
      <c r="J21" s="13"/>
      <c r="K21" s="13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2">
        <v>-4</v>
      </c>
      <c r="I22" s="13">
        <v>-3</v>
      </c>
      <c r="J22" s="13">
        <v>-2</v>
      </c>
      <c r="K22" s="13">
        <v>-1</v>
      </c>
      <c r="L22" s="13">
        <v>0</v>
      </c>
      <c r="M22" s="12">
        <v>1</v>
      </c>
      <c r="N22" s="12">
        <v>2</v>
      </c>
      <c r="O22" s="12">
        <v>3</v>
      </c>
      <c r="P22" s="13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2">
        <f>-4*P46</f>
        <v>-4000</v>
      </c>
      <c r="I23" s="13">
        <f>-2.75*P46</f>
        <v>-2750</v>
      </c>
      <c r="J23" s="13">
        <f>-1.5*P46</f>
        <v>-1500</v>
      </c>
      <c r="K23" s="13">
        <f>-0.5*P46</f>
        <v>-500</v>
      </c>
      <c r="L23" s="13">
        <f>0*P46</f>
        <v>0</v>
      </c>
      <c r="M23" s="12">
        <f>0.5*P46</f>
        <v>500</v>
      </c>
      <c r="N23" s="12">
        <f>1.5*P46</f>
        <v>1500</v>
      </c>
      <c r="O23" s="12">
        <f>2.75*P46</f>
        <v>2750</v>
      </c>
      <c r="P23" s="13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4" t="s">
        <v>7</v>
      </c>
      <c r="I24" s="13"/>
      <c r="J24" s="13"/>
      <c r="K24" s="13"/>
      <c r="L24" s="13"/>
      <c r="M24" s="12"/>
      <c r="N24" s="12"/>
      <c r="O24" s="12"/>
      <c r="P24" s="13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2">
        <v>-4</v>
      </c>
      <c r="I26" s="13">
        <v>-3</v>
      </c>
      <c r="J26" s="13">
        <v>-2</v>
      </c>
      <c r="K26" s="13">
        <v>-1</v>
      </c>
      <c r="L26" s="13">
        <v>0</v>
      </c>
      <c r="M26" s="12">
        <v>1</v>
      </c>
      <c r="N26" s="12">
        <v>2</v>
      </c>
      <c r="O26" s="12">
        <v>3</v>
      </c>
      <c r="P26" s="13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2">
        <f>-4*P50</f>
        <v>-4000</v>
      </c>
      <c r="I27" s="13">
        <f>-2.75*P50</f>
        <v>-2750</v>
      </c>
      <c r="J27" s="13">
        <f>-1.5*P50</f>
        <v>-1500</v>
      </c>
      <c r="K27" s="13">
        <f>-0.5*P50</f>
        <v>-500</v>
      </c>
      <c r="L27" s="13">
        <f>0*P50</f>
        <v>0</v>
      </c>
      <c r="M27" s="12">
        <f>0.5*P50</f>
        <v>500</v>
      </c>
      <c r="N27" s="12">
        <f>1.5*P50</f>
        <v>1500</v>
      </c>
      <c r="O27" s="12">
        <f>2.75*P50</f>
        <v>2750</v>
      </c>
      <c r="P27" s="13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4" t="s">
        <v>7</v>
      </c>
      <c r="I28" s="13"/>
      <c r="J28" s="13"/>
      <c r="K28" s="13"/>
      <c r="L28" s="13"/>
      <c r="M28" s="12"/>
      <c r="N28" s="12"/>
      <c r="O28" s="12"/>
      <c r="P28" s="13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3"/>
      <c r="J29" s="13"/>
      <c r="K29" s="13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2">
        <v>-4</v>
      </c>
      <c r="I30" s="13">
        <v>-3</v>
      </c>
      <c r="J30" s="13">
        <v>-2</v>
      </c>
      <c r="K30" s="13">
        <v>-1</v>
      </c>
      <c r="L30" s="13">
        <v>0</v>
      </c>
      <c r="M30" s="12">
        <v>1</v>
      </c>
      <c r="N30" s="12">
        <v>2</v>
      </c>
      <c r="O30" s="12">
        <v>3</v>
      </c>
      <c r="P30" s="13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2">
        <f>-4*P54</f>
        <v>-4000</v>
      </c>
      <c r="I31" s="13">
        <f>-2.75*P54</f>
        <v>-2750</v>
      </c>
      <c r="J31" s="13">
        <f>-1.5*P54</f>
        <v>-1500</v>
      </c>
      <c r="K31" s="13">
        <f>-0.5*P54</f>
        <v>-500</v>
      </c>
      <c r="L31" s="13">
        <f>0*P54</f>
        <v>0</v>
      </c>
      <c r="M31" s="12">
        <f>0.5*P54</f>
        <v>500</v>
      </c>
      <c r="N31" s="12">
        <f>1.5*P54</f>
        <v>1500</v>
      </c>
      <c r="O31" s="12">
        <f>2.75*P54</f>
        <v>2750</v>
      </c>
      <c r="P31" s="13">
        <f>4*P54</f>
        <v>4000</v>
      </c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P54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I11" sqref="I11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34</v>
      </c>
      <c r="J4" s="4" t="s">
        <v>32</v>
      </c>
    </row>
    <row r="5" spans="1:16" x14ac:dyDescent="0.25">
      <c r="A5" s="5" t="s">
        <v>30</v>
      </c>
      <c r="B5" s="6"/>
      <c r="C5" s="6"/>
      <c r="D5" s="4" t="s">
        <v>22</v>
      </c>
      <c r="F5" s="19">
        <f>J5+0.01</f>
        <v>-0.17369999999999999</v>
      </c>
      <c r="G5" s="19">
        <f>K5</f>
        <v>0.44059999999999999</v>
      </c>
      <c r="H5" s="19">
        <f>L5</f>
        <v>0.24529999999999999</v>
      </c>
      <c r="J5" s="4">
        <v>-0.1837</v>
      </c>
      <c r="K5" s="4">
        <v>0.44059999999999999</v>
      </c>
      <c r="L5" s="4">
        <v>0.24529999999999999</v>
      </c>
    </row>
    <row r="6" spans="1:16" x14ac:dyDescent="0.25">
      <c r="A6" s="5" t="s">
        <v>31</v>
      </c>
      <c r="B6" s="6"/>
      <c r="C6" s="6"/>
      <c r="D6" s="4" t="s">
        <v>22</v>
      </c>
      <c r="F6" s="19">
        <f>J5</f>
        <v>-0.1837</v>
      </c>
      <c r="G6" s="19">
        <f>K5</f>
        <v>0.44059999999999999</v>
      </c>
      <c r="H6" s="19">
        <f>L5+0.01</f>
        <v>0.25529999999999997</v>
      </c>
    </row>
    <row r="7" spans="1:16" x14ac:dyDescent="0.25">
      <c r="A7" s="5" t="s">
        <v>35</v>
      </c>
      <c r="B7" s="15" t="s">
        <v>19</v>
      </c>
      <c r="C7" s="16"/>
      <c r="D7" s="16"/>
      <c r="E7" s="16"/>
      <c r="F7" s="16"/>
      <c r="G7" s="17"/>
      <c r="H7" s="18" t="s">
        <v>36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4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2">
        <v>-4</v>
      </c>
      <c r="I10" s="13">
        <v>-3</v>
      </c>
      <c r="J10" s="13">
        <v>-2</v>
      </c>
      <c r="K10" s="13">
        <v>-1</v>
      </c>
      <c r="L10" s="13">
        <v>0</v>
      </c>
      <c r="M10" s="12">
        <v>1</v>
      </c>
      <c r="N10" s="12">
        <v>2</v>
      </c>
      <c r="O10" s="12">
        <v>3</v>
      </c>
      <c r="P10" s="13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2">
        <f>-4*P34</f>
        <v>-4000</v>
      </c>
      <c r="I11" s="13">
        <f>-2.75*P34</f>
        <v>-2750</v>
      </c>
      <c r="J11" s="13">
        <f>-1.5*P34</f>
        <v>-1500</v>
      </c>
      <c r="K11" s="13">
        <f>-0.5*P34</f>
        <v>-500</v>
      </c>
      <c r="L11" s="13">
        <f>0*P34</f>
        <v>0</v>
      </c>
      <c r="M11" s="12">
        <f>0.5*P34</f>
        <v>500</v>
      </c>
      <c r="N11" s="12">
        <f>1.5*P34</f>
        <v>1500</v>
      </c>
      <c r="O11" s="12">
        <f>2.75*P34</f>
        <v>2750</v>
      </c>
      <c r="P11" s="13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4" t="s">
        <v>7</v>
      </c>
      <c r="I12" s="13"/>
      <c r="J12" s="13"/>
      <c r="K12" s="13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3"/>
      <c r="J13" s="13"/>
      <c r="K13" s="13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2">
        <v>-4</v>
      </c>
      <c r="I14" s="13">
        <v>-3</v>
      </c>
      <c r="J14" s="13">
        <v>-2</v>
      </c>
      <c r="K14" s="13">
        <v>-1</v>
      </c>
      <c r="L14" s="13">
        <v>0</v>
      </c>
      <c r="M14" s="12">
        <v>1</v>
      </c>
      <c r="N14" s="12">
        <v>2</v>
      </c>
      <c r="O14" s="12">
        <v>3</v>
      </c>
      <c r="P14" s="13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2">
        <f>-4*P38</f>
        <v>-4000</v>
      </c>
      <c r="I15" s="13">
        <f>-2.75*P38</f>
        <v>-2750</v>
      </c>
      <c r="J15" s="13">
        <f>-1.5*P38</f>
        <v>-1500</v>
      </c>
      <c r="K15" s="13">
        <f>-0.5*P38</f>
        <v>-500</v>
      </c>
      <c r="L15" s="13">
        <f>0*P38</f>
        <v>0</v>
      </c>
      <c r="M15" s="12">
        <f>0.5*P38</f>
        <v>500</v>
      </c>
      <c r="N15" s="12">
        <f>1.5*P38</f>
        <v>1500</v>
      </c>
      <c r="O15" s="12">
        <f>2.75*P38</f>
        <v>2750</v>
      </c>
      <c r="P15" s="13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4" t="s">
        <v>7</v>
      </c>
      <c r="I16" s="13"/>
      <c r="J16" s="13"/>
      <c r="K16" s="13"/>
      <c r="L16" s="13"/>
      <c r="M16" s="12"/>
      <c r="N16" s="12"/>
      <c r="O16" s="12"/>
      <c r="P16" s="13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2">
        <v>-4</v>
      </c>
      <c r="I18" s="13">
        <v>-3</v>
      </c>
      <c r="J18" s="13">
        <v>-2</v>
      </c>
      <c r="K18" s="13">
        <v>-1</v>
      </c>
      <c r="L18" s="13">
        <v>0</v>
      </c>
      <c r="M18" s="12">
        <v>1</v>
      </c>
      <c r="N18" s="12">
        <v>2</v>
      </c>
      <c r="O18" s="12">
        <v>3</v>
      </c>
      <c r="P18" s="13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2">
        <f>-4*P42</f>
        <v>-4000</v>
      </c>
      <c r="I19" s="13">
        <f>-2.75*P42</f>
        <v>-2750</v>
      </c>
      <c r="J19" s="13">
        <f>-1.5*P42</f>
        <v>-1500</v>
      </c>
      <c r="K19" s="13">
        <f>-0.5*P42</f>
        <v>-500</v>
      </c>
      <c r="L19" s="13">
        <f>0*P42</f>
        <v>0</v>
      </c>
      <c r="M19" s="12">
        <f>0.5*P42</f>
        <v>500</v>
      </c>
      <c r="N19" s="12">
        <f>1.5*P42</f>
        <v>1500</v>
      </c>
      <c r="O19" s="12">
        <f>2.75*P42</f>
        <v>2750</v>
      </c>
      <c r="P19" s="13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4" t="s">
        <v>7</v>
      </c>
      <c r="I20" s="13"/>
      <c r="J20" s="13"/>
      <c r="K20" s="13"/>
      <c r="L20" s="13"/>
      <c r="M20" s="12"/>
      <c r="N20" s="12"/>
      <c r="O20" s="12"/>
      <c r="P20" s="13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3"/>
      <c r="J21" s="13"/>
      <c r="K21" s="13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2">
        <v>-4</v>
      </c>
      <c r="I22" s="13">
        <v>-3</v>
      </c>
      <c r="J22" s="13">
        <v>-2</v>
      </c>
      <c r="K22" s="13">
        <v>-1</v>
      </c>
      <c r="L22" s="13">
        <v>0</v>
      </c>
      <c r="M22" s="12">
        <v>1</v>
      </c>
      <c r="N22" s="12">
        <v>2</v>
      </c>
      <c r="O22" s="12">
        <v>3</v>
      </c>
      <c r="P22" s="13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2">
        <f>-4*P46</f>
        <v>-4000</v>
      </c>
      <c r="I23" s="13">
        <f>-2.75*P46</f>
        <v>-2750</v>
      </c>
      <c r="J23" s="13">
        <f>-1.5*P46</f>
        <v>-1500</v>
      </c>
      <c r="K23" s="13">
        <f>-0.5*P46</f>
        <v>-500</v>
      </c>
      <c r="L23" s="13">
        <f>0*P46</f>
        <v>0</v>
      </c>
      <c r="M23" s="12">
        <f>0.5*P46</f>
        <v>500</v>
      </c>
      <c r="N23" s="12">
        <f>1.5*P46</f>
        <v>1500</v>
      </c>
      <c r="O23" s="12">
        <f>2.75*P46</f>
        <v>2750</v>
      </c>
      <c r="P23" s="13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4" t="s">
        <v>7</v>
      </c>
      <c r="I24" s="13"/>
      <c r="J24" s="13"/>
      <c r="K24" s="13"/>
      <c r="L24" s="13"/>
      <c r="M24" s="12"/>
      <c r="N24" s="12"/>
      <c r="O24" s="12"/>
      <c r="P24" s="13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2">
        <v>-4</v>
      </c>
      <c r="I26" s="13">
        <v>-3</v>
      </c>
      <c r="J26" s="13">
        <v>-2</v>
      </c>
      <c r="K26" s="13">
        <v>-1</v>
      </c>
      <c r="L26" s="13">
        <v>0</v>
      </c>
      <c r="M26" s="12">
        <v>1</v>
      </c>
      <c r="N26" s="12">
        <v>2</v>
      </c>
      <c r="O26" s="12">
        <v>3</v>
      </c>
      <c r="P26" s="13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2">
        <f>-4*P50</f>
        <v>-4000</v>
      </c>
      <c r="I27" s="13">
        <f>-2.75*P50</f>
        <v>-2750</v>
      </c>
      <c r="J27" s="13">
        <f>-1.5*P50</f>
        <v>-1500</v>
      </c>
      <c r="K27" s="13">
        <f>-0.5*P50</f>
        <v>-500</v>
      </c>
      <c r="L27" s="13">
        <f>0*P50</f>
        <v>0</v>
      </c>
      <c r="M27" s="12">
        <f>0.5*P50</f>
        <v>500</v>
      </c>
      <c r="N27" s="12">
        <f>1.5*P50</f>
        <v>1500</v>
      </c>
      <c r="O27" s="12">
        <f>2.75*P50</f>
        <v>2750</v>
      </c>
      <c r="P27" s="13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4" t="s">
        <v>7</v>
      </c>
      <c r="I28" s="13"/>
      <c r="J28" s="13"/>
      <c r="K28" s="13"/>
      <c r="L28" s="13"/>
      <c r="M28" s="12"/>
      <c r="N28" s="12"/>
      <c r="O28" s="12"/>
      <c r="P28" s="13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3"/>
      <c r="J29" s="13"/>
      <c r="K29" s="13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2">
        <v>-4</v>
      </c>
      <c r="I30" s="13">
        <v>-3</v>
      </c>
      <c r="J30" s="13">
        <v>-2</v>
      </c>
      <c r="K30" s="13">
        <v>-1</v>
      </c>
      <c r="L30" s="13">
        <v>0</v>
      </c>
      <c r="M30" s="12">
        <v>1</v>
      </c>
      <c r="N30" s="12">
        <v>2</v>
      </c>
      <c r="O30" s="12">
        <v>3</v>
      </c>
      <c r="P30" s="13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2">
        <f>-4*P54</f>
        <v>-4000</v>
      </c>
      <c r="I31" s="13">
        <f>-2.75*P54</f>
        <v>-2750</v>
      </c>
      <c r="J31" s="13">
        <f>-1.5*P54</f>
        <v>-1500</v>
      </c>
      <c r="K31" s="13">
        <f>-0.5*P54</f>
        <v>-500</v>
      </c>
      <c r="L31" s="13">
        <f>0*P54</f>
        <v>0</v>
      </c>
      <c r="M31" s="12">
        <f>0.5*P54</f>
        <v>500</v>
      </c>
      <c r="N31" s="12">
        <f>1.5*P54</f>
        <v>1500</v>
      </c>
      <c r="O31" s="12">
        <f>2.75*P54</f>
        <v>2750</v>
      </c>
      <c r="P31" s="13">
        <f>4*P54</f>
        <v>4000</v>
      </c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BUJAx3_SLGf_S2LAF_LAF</vt:lpstr>
      <vt:lpstr>BUJAx3_SLGf_S2LAF_LAR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2025-11-08T18:25:35Z</dcterms:modified>
</cp:coreProperties>
</file>