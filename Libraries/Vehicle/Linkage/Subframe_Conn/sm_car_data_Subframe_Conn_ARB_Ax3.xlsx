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6165E9CD-BF01-4A53-AABA-7CDF6D104D27}" xr6:coauthVersionLast="47" xr6:coauthVersionMax="47" xr10:uidLastSave="{00000000-0000-0000-0000-000000000000}"/>
  <bookViews>
    <workbookView xWindow="29985" yWindow="0" windowWidth="26085" windowHeight="15585" tabRatio="988" xr2:uid="{5C9B011B-FECB-46A4-81D1-C980D278E613}"/>
  </bookViews>
  <sheets>
    <sheet name="BuARB_Sedan_f" sheetId="51" r:id="rId1"/>
    <sheet name="BuARB_Sedan_r" sheetId="53" r:id="rId2"/>
    <sheet name="BuARB_SedanLG_f" sheetId="54" r:id="rId3"/>
    <sheet name="BuARB_SedanLG_r" sheetId="55" r:id="rId4"/>
    <sheet name="BuARB_SedanLG_mac_f" sheetId="57" r:id="rId5"/>
    <sheet name="BuARB_Ach_f" sheetId="50" r:id="rId6"/>
    <sheet name="BuARB_Makhulu_f" sheetId="52" r:id="rId7"/>
    <sheet name="BuARB_SedanLGAU_f" sheetId="4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57" l="1"/>
  <c r="O31" i="57"/>
  <c r="N31" i="57"/>
  <c r="M31" i="57"/>
  <c r="L31" i="57"/>
  <c r="K31" i="57"/>
  <c r="J31" i="57"/>
  <c r="I31" i="57"/>
  <c r="H31" i="57"/>
  <c r="P27" i="57"/>
  <c r="O27" i="57"/>
  <c r="N27" i="57"/>
  <c r="M27" i="57"/>
  <c r="L27" i="57"/>
  <c r="K27" i="57"/>
  <c r="J27" i="57"/>
  <c r="I27" i="57"/>
  <c r="H27" i="57"/>
  <c r="P23" i="57"/>
  <c r="O23" i="57"/>
  <c r="N23" i="57"/>
  <c r="M23" i="57"/>
  <c r="L23" i="57"/>
  <c r="K23" i="57"/>
  <c r="J23" i="57"/>
  <c r="I23" i="57"/>
  <c r="H23" i="57"/>
  <c r="P19" i="57"/>
  <c r="O19" i="57"/>
  <c r="N19" i="57"/>
  <c r="M19" i="57"/>
  <c r="L19" i="57"/>
  <c r="K19" i="57"/>
  <c r="J19" i="57"/>
  <c r="I19" i="57"/>
  <c r="H19" i="57"/>
  <c r="P15" i="57"/>
  <c r="O15" i="57"/>
  <c r="N15" i="57"/>
  <c r="M15" i="57"/>
  <c r="L15" i="57"/>
  <c r="K15" i="57"/>
  <c r="J15" i="57"/>
  <c r="I15" i="57"/>
  <c r="H15" i="57"/>
  <c r="P11" i="57"/>
  <c r="O11" i="57"/>
  <c r="N11" i="57"/>
  <c r="M11" i="57"/>
  <c r="L11" i="57"/>
  <c r="K11" i="57"/>
  <c r="J11" i="57"/>
  <c r="I11" i="57"/>
  <c r="H11" i="57"/>
  <c r="H6" i="57"/>
  <c r="G6" i="57"/>
  <c r="F6" i="57"/>
  <c r="H5" i="57"/>
  <c r="G5" i="57"/>
  <c r="F5" i="57"/>
  <c r="P31" i="55"/>
  <c r="O31" i="55"/>
  <c r="N31" i="55"/>
  <c r="M31" i="55"/>
  <c r="L31" i="55"/>
  <c r="K31" i="55"/>
  <c r="J31" i="55"/>
  <c r="I31" i="55"/>
  <c r="H31" i="55"/>
  <c r="P27" i="55"/>
  <c r="O27" i="55"/>
  <c r="N27" i="55"/>
  <c r="M27" i="55"/>
  <c r="L27" i="55"/>
  <c r="K27" i="55"/>
  <c r="J27" i="55"/>
  <c r="I27" i="55"/>
  <c r="H27" i="55"/>
  <c r="P23" i="55"/>
  <c r="O23" i="55"/>
  <c r="N23" i="55"/>
  <c r="M23" i="55"/>
  <c r="L23" i="55"/>
  <c r="K23" i="55"/>
  <c r="J23" i="55"/>
  <c r="I23" i="55"/>
  <c r="H23" i="55"/>
  <c r="P19" i="55"/>
  <c r="O19" i="55"/>
  <c r="N19" i="55"/>
  <c r="M19" i="55"/>
  <c r="L19" i="55"/>
  <c r="K19" i="55"/>
  <c r="J19" i="55"/>
  <c r="I19" i="55"/>
  <c r="H19" i="55"/>
  <c r="P15" i="55"/>
  <c r="O15" i="55"/>
  <c r="N15" i="55"/>
  <c r="M15" i="55"/>
  <c r="L15" i="55"/>
  <c r="K15" i="55"/>
  <c r="J15" i="55"/>
  <c r="I15" i="55"/>
  <c r="H15" i="55"/>
  <c r="P11" i="55"/>
  <c r="O11" i="55"/>
  <c r="N11" i="55"/>
  <c r="M11" i="55"/>
  <c r="L11" i="55"/>
  <c r="K11" i="55"/>
  <c r="J11" i="55"/>
  <c r="I11" i="55"/>
  <c r="H11" i="55"/>
  <c r="H6" i="55"/>
  <c r="G6" i="55"/>
  <c r="F6" i="55"/>
  <c r="H5" i="55"/>
  <c r="G5" i="55"/>
  <c r="F5" i="55"/>
  <c r="P31" i="54"/>
  <c r="O31" i="54"/>
  <c r="N31" i="54"/>
  <c r="M31" i="54"/>
  <c r="L31" i="54"/>
  <c r="K31" i="54"/>
  <c r="J31" i="54"/>
  <c r="I31" i="54"/>
  <c r="H31" i="54"/>
  <c r="P27" i="54"/>
  <c r="O27" i="54"/>
  <c r="N27" i="54"/>
  <c r="M27" i="54"/>
  <c r="L27" i="54"/>
  <c r="K27" i="54"/>
  <c r="J27" i="54"/>
  <c r="I27" i="54"/>
  <c r="H27" i="54"/>
  <c r="P23" i="54"/>
  <c r="O23" i="54"/>
  <c r="N23" i="54"/>
  <c r="M23" i="54"/>
  <c r="L23" i="54"/>
  <c r="K23" i="54"/>
  <c r="J23" i="54"/>
  <c r="I23" i="54"/>
  <c r="H23" i="54"/>
  <c r="P19" i="54"/>
  <c r="O19" i="54"/>
  <c r="N19" i="54"/>
  <c r="M19" i="54"/>
  <c r="L19" i="54"/>
  <c r="K19" i="54"/>
  <c r="J19" i="54"/>
  <c r="I19" i="54"/>
  <c r="H19" i="54"/>
  <c r="P15" i="54"/>
  <c r="O15" i="54"/>
  <c r="N15" i="54"/>
  <c r="M15" i="54"/>
  <c r="L15" i="54"/>
  <c r="K15" i="54"/>
  <c r="J15" i="54"/>
  <c r="I15" i="54"/>
  <c r="H15" i="54"/>
  <c r="P11" i="54"/>
  <c r="O11" i="54"/>
  <c r="N11" i="54"/>
  <c r="M11" i="54"/>
  <c r="L11" i="54"/>
  <c r="K11" i="54"/>
  <c r="J11" i="54"/>
  <c r="I11" i="54"/>
  <c r="H11" i="54"/>
  <c r="H6" i="54"/>
  <c r="G6" i="54"/>
  <c r="F6" i="54"/>
  <c r="H5" i="54"/>
  <c r="G5" i="54"/>
  <c r="F5" i="54"/>
  <c r="P31" i="53"/>
  <c r="O31" i="53"/>
  <c r="N31" i="53"/>
  <c r="M31" i="53"/>
  <c r="L31" i="53"/>
  <c r="K31" i="53"/>
  <c r="J31" i="53"/>
  <c r="I31" i="53"/>
  <c r="H31" i="53"/>
  <c r="P27" i="53"/>
  <c r="O27" i="53"/>
  <c r="N27" i="53"/>
  <c r="M27" i="53"/>
  <c r="L27" i="53"/>
  <c r="K27" i="53"/>
  <c r="J27" i="53"/>
  <c r="I27" i="53"/>
  <c r="H27" i="53"/>
  <c r="P23" i="53"/>
  <c r="O23" i="53"/>
  <c r="N23" i="53"/>
  <c r="M23" i="53"/>
  <c r="L23" i="53"/>
  <c r="K23" i="53"/>
  <c r="J23" i="53"/>
  <c r="I23" i="53"/>
  <c r="H23" i="53"/>
  <c r="P19" i="53"/>
  <c r="O19" i="53"/>
  <c r="N19" i="53"/>
  <c r="M19" i="53"/>
  <c r="L19" i="53"/>
  <c r="K19" i="53"/>
  <c r="J19" i="53"/>
  <c r="I19" i="53"/>
  <c r="H19" i="53"/>
  <c r="P15" i="53"/>
  <c r="O15" i="53"/>
  <c r="N15" i="53"/>
  <c r="M15" i="53"/>
  <c r="L15" i="53"/>
  <c r="K15" i="53"/>
  <c r="J15" i="53"/>
  <c r="I15" i="53"/>
  <c r="H15" i="53"/>
  <c r="P11" i="53"/>
  <c r="O11" i="53"/>
  <c r="N11" i="53"/>
  <c r="M11" i="53"/>
  <c r="L11" i="53"/>
  <c r="K11" i="53"/>
  <c r="J11" i="53"/>
  <c r="I11" i="53"/>
  <c r="H11" i="53"/>
  <c r="H6" i="53"/>
  <c r="G6" i="53"/>
  <c r="F6" i="53"/>
  <c r="H5" i="53"/>
  <c r="G5" i="53"/>
  <c r="F5" i="53"/>
  <c r="H6" i="52"/>
  <c r="G6" i="52"/>
  <c r="F6" i="52"/>
  <c r="H5" i="52"/>
  <c r="G5" i="52"/>
  <c r="F5" i="52"/>
  <c r="H6" i="50"/>
  <c r="G6" i="50"/>
  <c r="F6" i="50"/>
  <c r="H5" i="50"/>
  <c r="G5" i="50"/>
  <c r="F5" i="50"/>
  <c r="H6" i="51"/>
  <c r="G6" i="51"/>
  <c r="F6" i="51"/>
  <c r="H5" i="51"/>
  <c r="G5" i="51"/>
  <c r="F5" i="51"/>
  <c r="F5" i="49"/>
  <c r="H6" i="49"/>
  <c r="G6" i="49"/>
  <c r="F6" i="49"/>
  <c r="H5" i="49"/>
  <c r="G5" i="49"/>
  <c r="P31" i="52"/>
  <c r="O31" i="52"/>
  <c r="N31" i="52"/>
  <c r="M31" i="52"/>
  <c r="L31" i="52"/>
  <c r="K31" i="52"/>
  <c r="J31" i="52"/>
  <c r="I31" i="52"/>
  <c r="H31" i="52"/>
  <c r="P27" i="52"/>
  <c r="O27" i="52"/>
  <c r="N27" i="52"/>
  <c r="M27" i="52"/>
  <c r="L27" i="52"/>
  <c r="K27" i="52"/>
  <c r="J27" i="52"/>
  <c r="I27" i="52"/>
  <c r="H27" i="52"/>
  <c r="P23" i="52"/>
  <c r="O23" i="52"/>
  <c r="N23" i="52"/>
  <c r="M23" i="52"/>
  <c r="L23" i="52"/>
  <c r="K23" i="52"/>
  <c r="J23" i="52"/>
  <c r="I23" i="52"/>
  <c r="H23" i="52"/>
  <c r="P19" i="52"/>
  <c r="O19" i="52"/>
  <c r="N19" i="52"/>
  <c r="M19" i="52"/>
  <c r="L19" i="52"/>
  <c r="K19" i="52"/>
  <c r="J19" i="52"/>
  <c r="I19" i="52"/>
  <c r="H19" i="52"/>
  <c r="P15" i="52"/>
  <c r="O15" i="52"/>
  <c r="N15" i="52"/>
  <c r="M15" i="52"/>
  <c r="L15" i="52"/>
  <c r="K15" i="52"/>
  <c r="J15" i="52"/>
  <c r="I15" i="52"/>
  <c r="H15" i="52"/>
  <c r="P11" i="52"/>
  <c r="O11" i="52"/>
  <c r="N11" i="52"/>
  <c r="M11" i="52"/>
  <c r="L11" i="52"/>
  <c r="K11" i="52"/>
  <c r="J11" i="52"/>
  <c r="I11" i="52"/>
  <c r="H11" i="52"/>
  <c r="P31" i="51"/>
  <c r="O31" i="51"/>
  <c r="N31" i="51"/>
  <c r="M31" i="51"/>
  <c r="L31" i="51"/>
  <c r="K31" i="51"/>
  <c r="J31" i="51"/>
  <c r="I31" i="51"/>
  <c r="H31" i="51"/>
  <c r="P27" i="51"/>
  <c r="O27" i="51"/>
  <c r="N27" i="51"/>
  <c r="M27" i="51"/>
  <c r="L27" i="51"/>
  <c r="K27" i="51"/>
  <c r="J27" i="51"/>
  <c r="I27" i="51"/>
  <c r="H27" i="51"/>
  <c r="P23" i="51"/>
  <c r="O23" i="51"/>
  <c r="N23" i="51"/>
  <c r="M23" i="51"/>
  <c r="L23" i="51"/>
  <c r="K23" i="51"/>
  <c r="J23" i="51"/>
  <c r="I23" i="51"/>
  <c r="H23" i="51"/>
  <c r="P19" i="51"/>
  <c r="O19" i="51"/>
  <c r="N19" i="51"/>
  <c r="M19" i="51"/>
  <c r="L19" i="51"/>
  <c r="K19" i="51"/>
  <c r="J19" i="51"/>
  <c r="I19" i="51"/>
  <c r="H19" i="51"/>
  <c r="P15" i="51"/>
  <c r="O15" i="51"/>
  <c r="N15" i="51"/>
  <c r="M15" i="51"/>
  <c r="L15" i="51"/>
  <c r="K15" i="51"/>
  <c r="J15" i="51"/>
  <c r="I15" i="51"/>
  <c r="H15" i="51"/>
  <c r="P11" i="51"/>
  <c r="O11" i="51"/>
  <c r="N11" i="51"/>
  <c r="M11" i="51"/>
  <c r="L11" i="51"/>
  <c r="K11" i="51"/>
  <c r="J11" i="51"/>
  <c r="I11" i="51"/>
  <c r="H11" i="51"/>
  <c r="P23" i="49"/>
  <c r="P31" i="49"/>
  <c r="P27" i="50"/>
  <c r="P23" i="50"/>
  <c r="P19" i="50"/>
  <c r="P31" i="50"/>
  <c r="O31" i="50"/>
  <c r="N31" i="50"/>
  <c r="M31" i="50"/>
  <c r="L31" i="50"/>
  <c r="K31" i="50"/>
  <c r="J31" i="50"/>
  <c r="I31" i="50"/>
  <c r="H31" i="50"/>
  <c r="O27" i="50"/>
  <c r="N27" i="50"/>
  <c r="M27" i="50"/>
  <c r="L27" i="50"/>
  <c r="K27" i="50"/>
  <c r="J27" i="50"/>
  <c r="I27" i="50"/>
  <c r="H27" i="50"/>
  <c r="O23" i="50"/>
  <c r="N23" i="50"/>
  <c r="M23" i="50"/>
  <c r="L23" i="50"/>
  <c r="K23" i="50"/>
  <c r="J23" i="50"/>
  <c r="I23" i="50"/>
  <c r="H23" i="50"/>
  <c r="O19" i="50"/>
  <c r="N19" i="50"/>
  <c r="M19" i="50"/>
  <c r="L19" i="50"/>
  <c r="K19" i="50"/>
  <c r="J19" i="50"/>
  <c r="I19" i="50"/>
  <c r="H19" i="50"/>
  <c r="P15" i="50"/>
  <c r="O15" i="50"/>
  <c r="N15" i="50"/>
  <c r="M15" i="50"/>
  <c r="L15" i="50"/>
  <c r="K15" i="50"/>
  <c r="J15" i="50"/>
  <c r="I15" i="50"/>
  <c r="H15" i="50"/>
  <c r="P11" i="50"/>
  <c r="O11" i="50"/>
  <c r="N11" i="50"/>
  <c r="M11" i="50"/>
  <c r="L11" i="50"/>
  <c r="K11" i="50"/>
  <c r="J11" i="50"/>
  <c r="I11" i="50"/>
  <c r="H11" i="50"/>
  <c r="O31" i="49"/>
  <c r="N31" i="49"/>
  <c r="M31" i="49"/>
  <c r="L31" i="49"/>
  <c r="K31" i="49"/>
  <c r="J31" i="49"/>
  <c r="I31" i="49"/>
  <c r="H31" i="49"/>
  <c r="P27" i="49"/>
  <c r="O27" i="49"/>
  <c r="N27" i="49"/>
  <c r="M27" i="49"/>
  <c r="L27" i="49"/>
  <c r="K27" i="49"/>
  <c r="J27" i="49"/>
  <c r="I27" i="49"/>
  <c r="H27" i="49"/>
  <c r="H11" i="49"/>
  <c r="H15" i="49"/>
  <c r="H19" i="49"/>
  <c r="H23" i="49"/>
  <c r="O23" i="49"/>
  <c r="N23" i="49"/>
  <c r="M23" i="49"/>
  <c r="L23" i="49"/>
  <c r="K23" i="49"/>
  <c r="J23" i="49"/>
  <c r="I23" i="49"/>
  <c r="P19" i="49"/>
  <c r="O19" i="49"/>
  <c r="N19" i="49"/>
  <c r="M19" i="49"/>
  <c r="L19" i="49"/>
  <c r="K19" i="49"/>
  <c r="J19" i="49"/>
  <c r="I19" i="49"/>
  <c r="P15" i="49"/>
  <c r="O15" i="49"/>
  <c r="N15" i="49"/>
  <c r="M15" i="49"/>
  <c r="L15" i="49"/>
  <c r="K15" i="49"/>
  <c r="J15" i="49"/>
  <c r="I15" i="49"/>
  <c r="P11" i="49"/>
  <c r="O11" i="49"/>
  <c r="N11" i="49"/>
  <c r="M11" i="49"/>
  <c r="L11" i="49"/>
  <c r="K11" i="49"/>
  <c r="J11" i="49"/>
  <c r="I11" i="49"/>
</calcChain>
</file>

<file path=xl/sharedStrings.xml><?xml version="1.0" encoding="utf-8"?>
<sst xmlns="http://schemas.openxmlformats.org/spreadsheetml/2006/main" count="726" uniqueCount="46">
  <si>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</si>
  <si>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</si>
  <si>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</si>
  <si>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</si>
  <si>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</si>
  <si>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</si>
  <si>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</si>
  <si>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</si>
  <si>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</si>
  <si>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</si>
  <si>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</si>
  <si>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</si>
  <si>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</si>
  <si>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</si>
  <si>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</si>
  <si>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</si>
  <si>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</si>
  <si>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</si>
  <si>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</si>
  <si>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</si>
  <si>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</si>
  <si>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</si>
  <si>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m</t>
  </si>
  <si>
    <t>SpringX</t>
  </si>
  <si>
    <t>DamperX</t>
  </si>
  <si>
    <t>SpringY</t>
  </si>
  <si>
    <t>DamperY</t>
  </si>
  <si>
    <t>SpringZ</t>
  </si>
  <si>
    <t>DamperZ</t>
  </si>
  <si>
    <t>Bushing_Ax3</t>
  </si>
  <si>
    <t>sAxialOrientationZ</t>
  </si>
  <si>
    <t>sAxialOrientationX</t>
  </si>
  <si>
    <t>sMount</t>
  </si>
  <si>
    <t>BushARB_Ax3_SedanLG_f</t>
  </si>
  <si>
    <t>BushARB_Ax3_Sedan_f</t>
  </si>
  <si>
    <t>BushARB_Ax3_Ach_f</t>
  </si>
  <si>
    <t>BushARB_Ax3_Makhulu_f</t>
  </si>
  <si>
    <t>BushARB_Ax3_Sedan_r</t>
  </si>
  <si>
    <t>BushARB_Ax3_SedanLGAU_f</t>
  </si>
  <si>
    <t>AntiRollBar.Droplink_Sedan_Hamba_r.sInboard</t>
  </si>
  <si>
    <t>AntiRollBar.Droplink_Sedan_Hamba_f.sInboard</t>
  </si>
  <si>
    <t>AntiRollBar.Droplink_Sedan_HambaLG_r.sInboard</t>
  </si>
  <si>
    <t>BushARB_Ax3_SedanLG_r</t>
  </si>
  <si>
    <t>BushARB_Ax3_SedanLG_mac_f</t>
  </si>
  <si>
    <t>AxisAttachment</t>
  </si>
  <si>
    <t>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</si>
</sst>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5" borderId="0" xfId="1" applyFill="1"/>
  </cellXfs>
  <cellStyles count="2">
    <cellStyle name="Normal" xfId="0" builtinId="0"/>
    <cellStyle name="Normal 2" xfId="1" xr:uid="{59B68FC0-DF65-45B7-9161-1BA244C01964}"/>
  </cellStyles>
  <dxfs count="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A4D9-363C-426A-86DE-0A2C87EE39C7}">
  <sheetPr>
    <tabColor theme="7" tint="0.79998168889431442"/>
  </sheetPr>
  <dimension ref="A1:P54"/>
  <sheetViews>
    <sheetView tabSelected="1" workbookViewId="0">
      <pane xSplit="3" ySplit="1" topLeftCell="D2" activePane="bottomRight" state="frozen"/>
      <selection activeCell="Q31" sqref="Q31"/>
      <selection pane="topRight" activeCell="Q31" sqref="Q31"/>
      <selection pane="bottomLeft" activeCell="Q31" sqref="Q31"/>
      <selection pane="bottomRight" activeCell="E26" sqref="E26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1406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34</v>
      </c>
      <c r="J4" s="4" t="s">
        <v>40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-0.3</v>
      </c>
      <c r="G5" s="20">
        <f>K5+0.01</f>
        <v>0.59</v>
      </c>
      <c r="H5" s="20">
        <f>L5</f>
        <v>0.15</v>
      </c>
      <c r="J5" s="21">
        <v>-0.3</v>
      </c>
      <c r="K5" s="21">
        <v>0.57999999999999996</v>
      </c>
      <c r="L5" s="21">
        <v>0.15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-0.28999999999999998</v>
      </c>
      <c r="G6" s="20">
        <f>K5</f>
        <v>0.57999999999999996</v>
      </c>
      <c r="H6" s="20">
        <f>L5</f>
        <v>0.15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7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9C66-29C0-472E-8780-28436986F33E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1406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37</v>
      </c>
      <c r="J4" s="4" t="s">
        <v>39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0.3</v>
      </c>
      <c r="G5" s="20">
        <f>K5+0.01</f>
        <v>0.59</v>
      </c>
      <c r="H5" s="20">
        <f>L5</f>
        <v>0.15</v>
      </c>
      <c r="J5" s="21">
        <v>0.3</v>
      </c>
      <c r="K5" s="21">
        <v>0.57999999999999996</v>
      </c>
      <c r="L5" s="21">
        <v>0.15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0.31</v>
      </c>
      <c r="G6" s="20">
        <f>K5</f>
        <v>0.57999999999999996</v>
      </c>
      <c r="H6" s="20">
        <f>L5</f>
        <v>0.15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6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2F0A-AF7B-446B-9582-C20E1100F0DD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1406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33</v>
      </c>
      <c r="J4" s="4" t="s">
        <v>32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-0.3</v>
      </c>
      <c r="G5" s="20">
        <f>K5+0.01</f>
        <v>0.36</v>
      </c>
      <c r="H5" s="20">
        <f>L5</f>
        <v>0.15</v>
      </c>
      <c r="J5" s="21">
        <v>-0.3</v>
      </c>
      <c r="K5" s="21">
        <v>0.35</v>
      </c>
      <c r="L5" s="21">
        <v>0.15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-0.28999999999999998</v>
      </c>
      <c r="G6" s="20">
        <f>K5</f>
        <v>0.35</v>
      </c>
      <c r="H6" s="20">
        <f>L5</f>
        <v>0.15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5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E8C8-430A-4F32-B7B8-2730870E6625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1406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42</v>
      </c>
      <c r="J4" s="4" t="s">
        <v>41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0.3</v>
      </c>
      <c r="G5" s="20">
        <f>K5+0.01</f>
        <v>0.36</v>
      </c>
      <c r="H5" s="20">
        <f>L5</f>
        <v>0.15</v>
      </c>
      <c r="J5" s="21">
        <v>0.3</v>
      </c>
      <c r="K5" s="21">
        <v>0.35</v>
      </c>
      <c r="L5" s="21">
        <v>0.15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0.31</v>
      </c>
      <c r="G6" s="20">
        <f>K5</f>
        <v>0.35</v>
      </c>
      <c r="H6" s="20">
        <f>L5</f>
        <v>0.15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4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5DFB-40D3-4F17-840D-0939E8FF2820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1406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43</v>
      </c>
      <c r="J4" s="4" t="s">
        <v>32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0.28999999999999998</v>
      </c>
      <c r="G5" s="20">
        <f>K5+0.01</f>
        <v>0.26</v>
      </c>
      <c r="H5" s="20">
        <f>L5</f>
        <v>0.24</v>
      </c>
      <c r="J5" s="21">
        <v>0.28999999999999998</v>
      </c>
      <c r="K5" s="21">
        <v>0.25</v>
      </c>
      <c r="L5" s="21">
        <v>0.24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0.3</v>
      </c>
      <c r="G6" s="20">
        <f>K5</f>
        <v>0.25</v>
      </c>
      <c r="H6" s="20">
        <f>L5</f>
        <v>0.24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3" priority="1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03D6-40B0-415E-B627-DF490261618F}">
  <sheetPr>
    <tabColor theme="7" tint="0.79998168889431442"/>
  </sheetPr>
  <dimension ref="A1:S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9" width="7.28515625" style="4" bestFit="1" customWidth="1"/>
    <col min="10" max="16" width="7.28515625" style="4" customWidth="1"/>
    <col min="17" max="18" width="9.140625" style="4"/>
    <col min="20" max="16384" width="9.140625" style="4"/>
  </cols>
  <sheetData>
    <row r="1" spans="1:19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9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9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9" x14ac:dyDescent="0.25">
      <c r="A4" s="5" t="s">
        <v>6</v>
      </c>
      <c r="B4" s="6"/>
      <c r="C4" s="6"/>
      <c r="F4" s="7"/>
      <c r="G4" s="7"/>
      <c r="H4" s="8" t="s">
        <v>35</v>
      </c>
    </row>
    <row r="5" spans="1:19" x14ac:dyDescent="0.25">
      <c r="A5" s="5" t="s">
        <v>30</v>
      </c>
      <c r="B5" s="6"/>
      <c r="C5" s="6"/>
      <c r="D5" s="4" t="s">
        <v>22</v>
      </c>
      <c r="F5" s="20">
        <f>J5</f>
        <v>-0.02</v>
      </c>
      <c r="G5" s="20">
        <f>K5+0.01</f>
        <v>0.25</v>
      </c>
      <c r="H5" s="20">
        <f>L5</f>
        <v>0.08</v>
      </c>
      <c r="J5" s="21">
        <v>-0.02</v>
      </c>
      <c r="K5" s="21">
        <v>0.24</v>
      </c>
      <c r="L5" s="21">
        <v>0.08</v>
      </c>
      <c r="S5" s="4"/>
    </row>
    <row r="6" spans="1:19" x14ac:dyDescent="0.25">
      <c r="A6" s="5" t="s">
        <v>31</v>
      </c>
      <c r="B6" s="6"/>
      <c r="C6" s="6"/>
      <c r="D6" s="4" t="s">
        <v>22</v>
      </c>
      <c r="F6" s="20">
        <f>J5+0.01</f>
        <v>-0.01</v>
      </c>
      <c r="G6" s="20">
        <f>K5</f>
        <v>0.24</v>
      </c>
      <c r="H6" s="20">
        <f>L5</f>
        <v>0.08</v>
      </c>
      <c r="S6" s="4"/>
    </row>
    <row r="7" spans="1:19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  <c r="S7" s="4"/>
    </row>
    <row r="8" spans="1:19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9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</v>
      </c>
    </row>
    <row r="10" spans="1:19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9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</v>
      </c>
      <c r="I11" s="14">
        <f>-2.75*P34</f>
        <v>-275</v>
      </c>
      <c r="J11" s="14">
        <f>-1.5*P34</f>
        <v>-150</v>
      </c>
      <c r="K11" s="14">
        <f>-0.5*P34</f>
        <v>-50</v>
      </c>
      <c r="L11" s="14">
        <f>0*P34</f>
        <v>0</v>
      </c>
      <c r="M11" s="13">
        <f>0.5*P34</f>
        <v>50</v>
      </c>
      <c r="N11" s="13">
        <f>1.5*P34</f>
        <v>150</v>
      </c>
      <c r="O11" s="13">
        <f>2.75*P34</f>
        <v>275</v>
      </c>
      <c r="P11" s="14">
        <f>4*P34</f>
        <v>400</v>
      </c>
    </row>
    <row r="12" spans="1:19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9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</v>
      </c>
      <c r="I13" s="14"/>
      <c r="J13" s="14"/>
      <c r="K13" s="14"/>
    </row>
    <row r="14" spans="1:19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9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</v>
      </c>
      <c r="I15" s="14">
        <f>-2.75*P38</f>
        <v>-275</v>
      </c>
      <c r="J15" s="14">
        <f>-1.5*P38</f>
        <v>-150</v>
      </c>
      <c r="K15" s="14">
        <f>-0.5*P38</f>
        <v>-50</v>
      </c>
      <c r="L15" s="14">
        <f>0*P38</f>
        <v>0</v>
      </c>
      <c r="M15" s="13">
        <f>0.5*P38</f>
        <v>50</v>
      </c>
      <c r="N15" s="13">
        <f>1.5*P38</f>
        <v>150</v>
      </c>
      <c r="O15" s="13">
        <f>2.75*P38</f>
        <v>275</v>
      </c>
      <c r="P15" s="14">
        <f>4*P38</f>
        <v>400</v>
      </c>
    </row>
    <row r="16" spans="1:19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</v>
      </c>
      <c r="I19" s="14">
        <f>-2.75*P42</f>
        <v>-275</v>
      </c>
      <c r="J19" s="14">
        <f>-1.5*P42</f>
        <v>-150</v>
      </c>
      <c r="K19" s="14">
        <f>-0.5*P42</f>
        <v>-50</v>
      </c>
      <c r="L19" s="14">
        <f>0*P42</f>
        <v>0</v>
      </c>
      <c r="M19" s="13">
        <f>0.5*P42</f>
        <v>50</v>
      </c>
      <c r="N19" s="13">
        <f>1.5*P42</f>
        <v>150</v>
      </c>
      <c r="O19" s="13">
        <f>2.75*P42</f>
        <v>275</v>
      </c>
      <c r="P19" s="14">
        <f>4*P42</f>
        <v>400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</v>
      </c>
      <c r="I23" s="14">
        <f>-2.75*P46</f>
        <v>-275</v>
      </c>
      <c r="J23" s="14">
        <f>-1.5*P46</f>
        <v>-150</v>
      </c>
      <c r="K23" s="14">
        <f>-0.5*P46</f>
        <v>-50</v>
      </c>
      <c r="L23" s="14">
        <f>0*P46</f>
        <v>0</v>
      </c>
      <c r="M23" s="13">
        <f>0.5*P46</f>
        <v>50</v>
      </c>
      <c r="N23" s="13">
        <f>1.5*P46</f>
        <v>150</v>
      </c>
      <c r="O23" s="13">
        <f>2.75*P46</f>
        <v>275</v>
      </c>
      <c r="P23" s="14">
        <f>4*P46</f>
        <v>400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</v>
      </c>
      <c r="I27" s="14">
        <f>-2.75*P50</f>
        <v>-275</v>
      </c>
      <c r="J27" s="14">
        <f>-1.5*P50</f>
        <v>-150</v>
      </c>
      <c r="K27" s="14">
        <f>-0.5*P50</f>
        <v>-50</v>
      </c>
      <c r="L27" s="14">
        <f>0*P50</f>
        <v>0</v>
      </c>
      <c r="M27" s="13">
        <f>0.5*P50</f>
        <v>50</v>
      </c>
      <c r="N27" s="13">
        <f>1.5*P50</f>
        <v>150</v>
      </c>
      <c r="O27" s="13">
        <f>2.75*P50</f>
        <v>275</v>
      </c>
      <c r="P27" s="14">
        <f>4*P50</f>
        <v>400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</v>
      </c>
      <c r="I31" s="14">
        <f>-2.75*P54</f>
        <v>-275</v>
      </c>
      <c r="J31" s="14">
        <f>-1.5*P54</f>
        <v>-150</v>
      </c>
      <c r="K31" s="14">
        <f>-0.5*P54</f>
        <v>-50</v>
      </c>
      <c r="L31" s="14">
        <f>0*P54</f>
        <v>0</v>
      </c>
      <c r="M31" s="13">
        <f>0.5*P54</f>
        <v>50</v>
      </c>
      <c r="N31" s="13">
        <f>1.5*P54</f>
        <v>150</v>
      </c>
      <c r="O31" s="13">
        <f>2.75*P54</f>
        <v>275</v>
      </c>
      <c r="P31" s="14">
        <f>4*P54</f>
        <v>400</v>
      </c>
    </row>
    <row r="32" spans="1:16" x14ac:dyDescent="0.25">
      <c r="B32" s="11"/>
      <c r="H32" s="12"/>
    </row>
    <row r="34" spans="16:16" x14ac:dyDescent="0.25">
      <c r="P34" s="4">
        <v>100</v>
      </c>
    </row>
    <row r="38" spans="16:16" x14ac:dyDescent="0.25">
      <c r="P38" s="4">
        <v>100</v>
      </c>
    </row>
    <row r="42" spans="16:16" x14ac:dyDescent="0.25">
      <c r="P42" s="4">
        <v>100</v>
      </c>
    </row>
    <row r="46" spans="16:16" x14ac:dyDescent="0.25">
      <c r="P46" s="4">
        <v>100</v>
      </c>
    </row>
    <row r="50" spans="16:16" x14ac:dyDescent="0.25">
      <c r="P50" s="4">
        <v>100</v>
      </c>
    </row>
    <row r="54" spans="16:16" x14ac:dyDescent="0.25">
      <c r="P54" s="4">
        <v>100</v>
      </c>
    </row>
  </sheetData>
  <conditionalFormatting sqref="B9:C11 B13:C31 A22 A30">
    <cfRule type="cellIs" dxfId="2" priority="1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7D60-DC48-488C-B42C-C0517DA24E79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36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-0.3</v>
      </c>
      <c r="G5" s="20">
        <f>K5+0.01</f>
        <v>0.59</v>
      </c>
      <c r="H5" s="20">
        <f>L5</f>
        <v>0.3</v>
      </c>
      <c r="J5" s="21">
        <v>-0.3</v>
      </c>
      <c r="K5" s="21">
        <v>0.57999999999999996</v>
      </c>
      <c r="L5" s="21">
        <v>0.3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-0.28999999999999998</v>
      </c>
      <c r="G6" s="20">
        <f>K5</f>
        <v>0.57999999999999996</v>
      </c>
      <c r="H6" s="20">
        <f>L5</f>
        <v>0.3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442B-53F2-40F2-B971-858F8B07A0C8}">
  <sheetPr>
    <tabColor theme="7" tint="0.79998168889431442"/>
  </sheetPr>
  <dimension ref="A1:P54"/>
  <sheetViews>
    <sheetView workbookViewId="0">
      <pane xSplit="3" ySplit="1" topLeftCell="D2" activePane="bottomRight" state="frozen"/>
      <selection activeCell="Q13" sqref="Q13"/>
      <selection pane="topRight" activeCell="Q13" sqref="Q13"/>
      <selection pane="bottomLeft" activeCell="Q13" sqref="Q13"/>
      <selection pane="bottomRight" activeCell="Q13" sqref="Q1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6" width="7.425781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6" t="s">
        <v>19</v>
      </c>
      <c r="B3" s="17"/>
      <c r="C3" s="17"/>
      <c r="D3" s="17"/>
      <c r="E3" s="17"/>
      <c r="F3" s="18"/>
      <c r="G3" s="18"/>
      <c r="H3" s="19" t="s">
        <v>29</v>
      </c>
    </row>
    <row r="4" spans="1:16" x14ac:dyDescent="0.25">
      <c r="A4" s="5" t="s">
        <v>6</v>
      </c>
      <c r="B4" s="6"/>
      <c r="C4" s="6"/>
      <c r="F4" s="7"/>
      <c r="G4" s="7"/>
      <c r="H4" s="8" t="s">
        <v>38</v>
      </c>
      <c r="J4" s="4" t="s">
        <v>32</v>
      </c>
    </row>
    <row r="5" spans="1:16" x14ac:dyDescent="0.25">
      <c r="A5" s="5" t="s">
        <v>30</v>
      </c>
      <c r="B5" s="6"/>
      <c r="C5" s="6"/>
      <c r="D5" s="4" t="s">
        <v>22</v>
      </c>
      <c r="F5" s="20">
        <f>J5</f>
        <v>0.28999999999999998</v>
      </c>
      <c r="G5" s="20">
        <f>K5+0.01</f>
        <v>0.26</v>
      </c>
      <c r="H5" s="20">
        <f>L5</f>
        <v>0.24</v>
      </c>
      <c r="J5" s="21">
        <v>0.28999999999999998</v>
      </c>
      <c r="K5" s="21">
        <v>0.25</v>
      </c>
      <c r="L5" s="21">
        <v>0.24</v>
      </c>
    </row>
    <row r="6" spans="1:16" x14ac:dyDescent="0.25">
      <c r="A6" s="5" t="s">
        <v>31</v>
      </c>
      <c r="B6" s="6"/>
      <c r="C6" s="6"/>
      <c r="D6" s="4" t="s">
        <v>22</v>
      </c>
      <c r="F6" s="20">
        <f>J5+0.01</f>
        <v>0.3</v>
      </c>
      <c r="G6" s="20">
        <f>K5</f>
        <v>0.25</v>
      </c>
      <c r="H6" s="20">
        <f>L5</f>
        <v>0.24</v>
      </c>
    </row>
    <row r="7" spans="1:16" x14ac:dyDescent="0.25">
      <c r="A7" s="5" t="s">
        <v>44</v>
      </c>
      <c r="B7" s="16" t="s">
        <v>19</v>
      </c>
      <c r="C7" s="17"/>
      <c r="D7" s="17"/>
      <c r="E7" s="17"/>
      <c r="F7" s="17"/>
      <c r="G7" s="18"/>
      <c r="H7" s="19" t="s">
        <v>45</v>
      </c>
    </row>
    <row r="8" spans="1:16" x14ac:dyDescent="0.25">
      <c r="A8" s="5" t="s">
        <v>23</v>
      </c>
      <c r="B8" s="6" t="s">
        <v>16</v>
      </c>
      <c r="C8" s="6"/>
      <c r="E8" s="4" t="s">
        <v>18</v>
      </c>
      <c r="H8" s="15" t="s">
        <v>7</v>
      </c>
    </row>
    <row r="9" spans="1:16" x14ac:dyDescent="0.25">
      <c r="A9" s="5"/>
      <c r="B9" s="5" t="s">
        <v>7</v>
      </c>
      <c r="C9" s="6" t="s">
        <v>11</v>
      </c>
      <c r="D9" s="4" t="s">
        <v>21</v>
      </c>
      <c r="F9" s="9"/>
      <c r="G9" s="9"/>
      <c r="H9" s="10">
        <v>2000</v>
      </c>
    </row>
    <row r="10" spans="1:16" x14ac:dyDescent="0.25">
      <c r="A10" s="5"/>
      <c r="B10" s="5" t="s">
        <v>17</v>
      </c>
      <c r="C10" s="6" t="s">
        <v>2</v>
      </c>
      <c r="D10" s="4" t="s">
        <v>10</v>
      </c>
      <c r="F10" s="9"/>
      <c r="G10" s="9"/>
      <c r="H10" s="13">
        <v>-4</v>
      </c>
      <c r="I10" s="14">
        <v>-3</v>
      </c>
      <c r="J10" s="14">
        <v>-2</v>
      </c>
      <c r="K10" s="14">
        <v>-1</v>
      </c>
      <c r="L10" s="14">
        <v>0</v>
      </c>
      <c r="M10" s="13">
        <v>1</v>
      </c>
      <c r="N10" s="13">
        <v>2</v>
      </c>
      <c r="O10" s="13">
        <v>3</v>
      </c>
      <c r="P10" s="14">
        <v>4</v>
      </c>
    </row>
    <row r="11" spans="1:16" x14ac:dyDescent="0.25">
      <c r="A11" s="5"/>
      <c r="B11" s="5"/>
      <c r="C11" s="6" t="s">
        <v>12</v>
      </c>
      <c r="D11" s="4" t="s">
        <v>13</v>
      </c>
      <c r="F11" s="9"/>
      <c r="G11" s="9"/>
      <c r="H11" s="13">
        <f>-4*P34</f>
        <v>-4000</v>
      </c>
      <c r="I11" s="14">
        <f>-2.75*P34</f>
        <v>-2750</v>
      </c>
      <c r="J11" s="14">
        <f>-1.5*P34</f>
        <v>-1500</v>
      </c>
      <c r="K11" s="14">
        <f>-0.5*P34</f>
        <v>-500</v>
      </c>
      <c r="L11" s="14">
        <f>0*P34</f>
        <v>0</v>
      </c>
      <c r="M11" s="13">
        <f>0.5*P34</f>
        <v>500</v>
      </c>
      <c r="N11" s="13">
        <f>1.5*P34</f>
        <v>1500</v>
      </c>
      <c r="O11" s="13">
        <f>2.75*P34</f>
        <v>2750</v>
      </c>
      <c r="P11" s="14">
        <f>4*P34</f>
        <v>4000</v>
      </c>
    </row>
    <row r="12" spans="1:16" x14ac:dyDescent="0.25">
      <c r="A12" s="5" t="s">
        <v>24</v>
      </c>
      <c r="B12" s="6" t="s">
        <v>16</v>
      </c>
      <c r="C12" s="6"/>
      <c r="E12" s="4" t="s">
        <v>18</v>
      </c>
      <c r="H12" s="15" t="s">
        <v>7</v>
      </c>
      <c r="I12" s="14"/>
      <c r="J12" s="14"/>
      <c r="K12" s="14"/>
    </row>
    <row r="13" spans="1:16" x14ac:dyDescent="0.25">
      <c r="A13" s="5"/>
      <c r="B13" s="5" t="s">
        <v>7</v>
      </c>
      <c r="C13" s="6" t="s">
        <v>8</v>
      </c>
      <c r="D13" s="4" t="s">
        <v>9</v>
      </c>
      <c r="F13" s="9"/>
      <c r="G13" s="9"/>
      <c r="H13" s="10">
        <v>2000</v>
      </c>
      <c r="I13" s="14"/>
      <c r="J13" s="14"/>
      <c r="K13" s="14"/>
    </row>
    <row r="14" spans="1:16" x14ac:dyDescent="0.25">
      <c r="A14" s="5"/>
      <c r="B14" s="5" t="s">
        <v>17</v>
      </c>
      <c r="C14" s="6" t="s">
        <v>14</v>
      </c>
      <c r="D14" s="4" t="s">
        <v>15</v>
      </c>
      <c r="F14" s="9"/>
      <c r="G14" s="9"/>
      <c r="H14" s="13">
        <v>-4</v>
      </c>
      <c r="I14" s="14">
        <v>-3</v>
      </c>
      <c r="J14" s="14">
        <v>-2</v>
      </c>
      <c r="K14" s="14">
        <v>-1</v>
      </c>
      <c r="L14" s="14">
        <v>0</v>
      </c>
      <c r="M14" s="13">
        <v>1</v>
      </c>
      <c r="N14" s="13">
        <v>2</v>
      </c>
      <c r="O14" s="13">
        <v>3</v>
      </c>
      <c r="P14" s="14">
        <v>4</v>
      </c>
    </row>
    <row r="15" spans="1:16" x14ac:dyDescent="0.25">
      <c r="A15" s="6"/>
      <c r="B15" s="5"/>
      <c r="C15" s="6" t="s">
        <v>12</v>
      </c>
      <c r="D15" s="4" t="s">
        <v>13</v>
      </c>
      <c r="F15" s="9"/>
      <c r="G15" s="9"/>
      <c r="H15" s="13">
        <f>-4*P38</f>
        <v>-4000</v>
      </c>
      <c r="I15" s="14">
        <f>-2.75*P38</f>
        <v>-2750</v>
      </c>
      <c r="J15" s="14">
        <f>-1.5*P38</f>
        <v>-1500</v>
      </c>
      <c r="K15" s="14">
        <f>-0.5*P38</f>
        <v>-500</v>
      </c>
      <c r="L15" s="14">
        <f>0*P38</f>
        <v>0</v>
      </c>
      <c r="M15" s="13">
        <f>0.5*P38</f>
        <v>500</v>
      </c>
      <c r="N15" s="13">
        <f>1.5*P38</f>
        <v>1500</v>
      </c>
      <c r="O15" s="13">
        <f>2.75*P38</f>
        <v>2750</v>
      </c>
      <c r="P15" s="14">
        <f>4*P38</f>
        <v>4000</v>
      </c>
    </row>
    <row r="16" spans="1:16" x14ac:dyDescent="0.25">
      <c r="A16" s="6" t="s">
        <v>25</v>
      </c>
      <c r="B16" s="5" t="s">
        <v>16</v>
      </c>
      <c r="C16" s="6"/>
      <c r="E16" s="4" t="s">
        <v>18</v>
      </c>
      <c r="F16" s="9"/>
      <c r="G16" s="9"/>
      <c r="H16" s="15" t="s">
        <v>7</v>
      </c>
      <c r="I16" s="14"/>
      <c r="J16" s="14"/>
      <c r="K16" s="14"/>
      <c r="L16" s="14"/>
      <c r="M16" s="13"/>
      <c r="N16" s="13"/>
      <c r="O16" s="13"/>
      <c r="P16" s="14"/>
    </row>
    <row r="17" spans="1:16" x14ac:dyDescent="0.25">
      <c r="A17" s="5"/>
      <c r="B17" s="5" t="s">
        <v>7</v>
      </c>
      <c r="C17" s="6" t="s">
        <v>11</v>
      </c>
      <c r="D17" s="4" t="s">
        <v>21</v>
      </c>
      <c r="F17" s="9"/>
      <c r="G17" s="9"/>
      <c r="H17" s="10">
        <v>2000</v>
      </c>
    </row>
    <row r="18" spans="1:16" x14ac:dyDescent="0.25">
      <c r="A18" s="5"/>
      <c r="B18" s="5" t="s">
        <v>17</v>
      </c>
      <c r="C18" s="6" t="s">
        <v>2</v>
      </c>
      <c r="D18" s="4" t="s">
        <v>10</v>
      </c>
      <c r="F18" s="9"/>
      <c r="G18" s="9"/>
      <c r="H18" s="13">
        <v>-4</v>
      </c>
      <c r="I18" s="14">
        <v>-3</v>
      </c>
      <c r="J18" s="14">
        <v>-2</v>
      </c>
      <c r="K18" s="14">
        <v>-1</v>
      </c>
      <c r="L18" s="14">
        <v>0</v>
      </c>
      <c r="M18" s="13">
        <v>1</v>
      </c>
      <c r="N18" s="13">
        <v>2</v>
      </c>
      <c r="O18" s="13">
        <v>3</v>
      </c>
      <c r="P18" s="14">
        <v>4</v>
      </c>
    </row>
    <row r="19" spans="1:16" x14ac:dyDescent="0.25">
      <c r="A19" s="5"/>
      <c r="B19" s="5"/>
      <c r="C19" s="6" t="s">
        <v>12</v>
      </c>
      <c r="D19" s="4" t="s">
        <v>13</v>
      </c>
      <c r="F19" s="9"/>
      <c r="G19" s="9"/>
      <c r="H19" s="13">
        <f>-4*P42</f>
        <v>-4000</v>
      </c>
      <c r="I19" s="14">
        <f>-2.75*P42</f>
        <v>-2750</v>
      </c>
      <c r="J19" s="14">
        <f>-1.5*P42</f>
        <v>-1500</v>
      </c>
      <c r="K19" s="14">
        <f>-0.5*P42</f>
        <v>-500</v>
      </c>
      <c r="L19" s="14">
        <f>0*P42</f>
        <v>0</v>
      </c>
      <c r="M19" s="13">
        <f>0.5*P42</f>
        <v>500</v>
      </c>
      <c r="N19" s="13">
        <f>1.5*P42</f>
        <v>1500</v>
      </c>
      <c r="O19" s="13">
        <f>2.75*P42</f>
        <v>2750</v>
      </c>
      <c r="P19" s="14">
        <f>4*P42</f>
        <v>4000</v>
      </c>
    </row>
    <row r="20" spans="1:16" x14ac:dyDescent="0.25">
      <c r="A20" s="5" t="s">
        <v>26</v>
      </c>
      <c r="B20" s="5" t="s">
        <v>16</v>
      </c>
      <c r="C20" s="6"/>
      <c r="E20" s="4" t="s">
        <v>18</v>
      </c>
      <c r="F20" s="9"/>
      <c r="G20" s="9"/>
      <c r="H20" s="15" t="s">
        <v>7</v>
      </c>
      <c r="I20" s="14"/>
      <c r="J20" s="14"/>
      <c r="K20" s="14"/>
      <c r="L20" s="14"/>
      <c r="M20" s="13"/>
      <c r="N20" s="13"/>
      <c r="O20" s="13"/>
      <c r="P20" s="14"/>
    </row>
    <row r="21" spans="1:16" x14ac:dyDescent="0.25">
      <c r="A21" s="5"/>
      <c r="B21" s="5" t="s">
        <v>7</v>
      </c>
      <c r="C21" s="6" t="s">
        <v>8</v>
      </c>
      <c r="D21" s="4" t="s">
        <v>9</v>
      </c>
      <c r="F21" s="9"/>
      <c r="G21" s="9"/>
      <c r="H21" s="10">
        <v>2000</v>
      </c>
      <c r="I21" s="14"/>
      <c r="J21" s="14"/>
      <c r="K21" s="14"/>
    </row>
    <row r="22" spans="1:16" x14ac:dyDescent="0.25">
      <c r="A22" s="5"/>
      <c r="B22" s="5" t="s">
        <v>17</v>
      </c>
      <c r="C22" s="6" t="s">
        <v>14</v>
      </c>
      <c r="D22" s="4" t="s">
        <v>15</v>
      </c>
      <c r="F22" s="9"/>
      <c r="G22" s="9"/>
      <c r="H22" s="13">
        <v>-4</v>
      </c>
      <c r="I22" s="14">
        <v>-3</v>
      </c>
      <c r="J22" s="14">
        <v>-2</v>
      </c>
      <c r="K22" s="14">
        <v>-1</v>
      </c>
      <c r="L22" s="14">
        <v>0</v>
      </c>
      <c r="M22" s="13">
        <v>1</v>
      </c>
      <c r="N22" s="13">
        <v>2</v>
      </c>
      <c r="O22" s="13">
        <v>3</v>
      </c>
      <c r="P22" s="14">
        <v>4</v>
      </c>
    </row>
    <row r="23" spans="1:16" x14ac:dyDescent="0.25">
      <c r="A23" s="5"/>
      <c r="B23" s="5"/>
      <c r="C23" s="6" t="s">
        <v>12</v>
      </c>
      <c r="D23" s="4" t="s">
        <v>13</v>
      </c>
      <c r="F23" s="9"/>
      <c r="G23" s="9"/>
      <c r="H23" s="13">
        <f>-4*P46</f>
        <v>-4000</v>
      </c>
      <c r="I23" s="14">
        <f>-2.75*P46</f>
        <v>-2750</v>
      </c>
      <c r="J23" s="14">
        <f>-1.5*P46</f>
        <v>-1500</v>
      </c>
      <c r="K23" s="14">
        <f>-0.5*P46</f>
        <v>-500</v>
      </c>
      <c r="L23" s="14">
        <f>0*P46</f>
        <v>0</v>
      </c>
      <c r="M23" s="13">
        <f>0.5*P46</f>
        <v>500</v>
      </c>
      <c r="N23" s="13">
        <f>1.5*P46</f>
        <v>1500</v>
      </c>
      <c r="O23" s="13">
        <f>2.75*P46</f>
        <v>2750</v>
      </c>
      <c r="P23" s="14">
        <f>4*P46</f>
        <v>4000</v>
      </c>
    </row>
    <row r="24" spans="1:16" x14ac:dyDescent="0.25">
      <c r="A24" s="6" t="s">
        <v>27</v>
      </c>
      <c r="B24" s="5" t="s">
        <v>16</v>
      </c>
      <c r="C24" s="6"/>
      <c r="E24" s="4" t="s">
        <v>18</v>
      </c>
      <c r="F24" s="9"/>
      <c r="G24" s="9"/>
      <c r="H24" s="15" t="s">
        <v>7</v>
      </c>
      <c r="I24" s="14"/>
      <c r="J24" s="14"/>
      <c r="K24" s="14"/>
      <c r="L24" s="14"/>
      <c r="M24" s="13"/>
      <c r="N24" s="13"/>
      <c r="O24" s="13"/>
      <c r="P24" s="14"/>
    </row>
    <row r="25" spans="1:16" x14ac:dyDescent="0.25">
      <c r="A25" s="5"/>
      <c r="B25" s="5" t="s">
        <v>7</v>
      </c>
      <c r="C25" s="6" t="s">
        <v>11</v>
      </c>
      <c r="D25" s="4" t="s">
        <v>21</v>
      </c>
      <c r="F25" s="9"/>
      <c r="G25" s="9"/>
      <c r="H25" s="10">
        <v>2000</v>
      </c>
    </row>
    <row r="26" spans="1:16" x14ac:dyDescent="0.25">
      <c r="A26" s="5"/>
      <c r="B26" s="5" t="s">
        <v>17</v>
      </c>
      <c r="C26" s="6" t="s">
        <v>2</v>
      </c>
      <c r="D26" s="4" t="s">
        <v>10</v>
      </c>
      <c r="F26" s="9"/>
      <c r="G26" s="9"/>
      <c r="H26" s="13">
        <v>-4</v>
      </c>
      <c r="I26" s="14">
        <v>-3</v>
      </c>
      <c r="J26" s="14">
        <v>-2</v>
      </c>
      <c r="K26" s="14">
        <v>-1</v>
      </c>
      <c r="L26" s="14">
        <v>0</v>
      </c>
      <c r="M26" s="13">
        <v>1</v>
      </c>
      <c r="N26" s="13">
        <v>2</v>
      </c>
      <c r="O26" s="13">
        <v>3</v>
      </c>
      <c r="P26" s="14">
        <v>4</v>
      </c>
    </row>
    <row r="27" spans="1:16" x14ac:dyDescent="0.25">
      <c r="A27" s="5"/>
      <c r="B27" s="5"/>
      <c r="C27" s="6" t="s">
        <v>12</v>
      </c>
      <c r="D27" s="4" t="s">
        <v>13</v>
      </c>
      <c r="F27" s="9"/>
      <c r="G27" s="9"/>
      <c r="H27" s="13">
        <f>-4*P50</f>
        <v>-4000</v>
      </c>
      <c r="I27" s="14">
        <f>-2.75*P50</f>
        <v>-2750</v>
      </c>
      <c r="J27" s="14">
        <f>-1.5*P50</f>
        <v>-1500</v>
      </c>
      <c r="K27" s="14">
        <f>-0.5*P50</f>
        <v>-500</v>
      </c>
      <c r="L27" s="14">
        <f>0*P50</f>
        <v>0</v>
      </c>
      <c r="M27" s="13">
        <f>0.5*P50</f>
        <v>500</v>
      </c>
      <c r="N27" s="13">
        <f>1.5*P50</f>
        <v>1500</v>
      </c>
      <c r="O27" s="13">
        <f>2.75*P50</f>
        <v>2750</v>
      </c>
      <c r="P27" s="14">
        <f>4*P50</f>
        <v>4000</v>
      </c>
    </row>
    <row r="28" spans="1:16" x14ac:dyDescent="0.25">
      <c r="A28" s="5" t="s">
        <v>28</v>
      </c>
      <c r="B28" s="5" t="s">
        <v>16</v>
      </c>
      <c r="C28" s="6"/>
      <c r="E28" s="4" t="s">
        <v>18</v>
      </c>
      <c r="F28" s="9"/>
      <c r="G28" s="9"/>
      <c r="H28" s="15" t="s">
        <v>7</v>
      </c>
      <c r="I28" s="14"/>
      <c r="J28" s="14"/>
      <c r="K28" s="14"/>
      <c r="L28" s="14"/>
      <c r="M28" s="13"/>
      <c r="N28" s="13"/>
      <c r="O28" s="13"/>
      <c r="P28" s="14"/>
    </row>
    <row r="29" spans="1:16" x14ac:dyDescent="0.25">
      <c r="A29" s="5"/>
      <c r="B29" s="5" t="s">
        <v>7</v>
      </c>
      <c r="C29" s="6" t="s">
        <v>8</v>
      </c>
      <c r="D29" s="4" t="s">
        <v>9</v>
      </c>
      <c r="F29" s="9"/>
      <c r="G29" s="9"/>
      <c r="H29" s="10">
        <v>2000</v>
      </c>
      <c r="I29" s="14"/>
      <c r="J29" s="14"/>
      <c r="K29" s="14"/>
    </row>
    <row r="30" spans="1:16" x14ac:dyDescent="0.25">
      <c r="A30" s="5"/>
      <c r="B30" s="5" t="s">
        <v>17</v>
      </c>
      <c r="C30" s="6" t="s">
        <v>14</v>
      </c>
      <c r="D30" s="4" t="s">
        <v>15</v>
      </c>
      <c r="F30" s="9"/>
      <c r="G30" s="9"/>
      <c r="H30" s="13">
        <v>-4</v>
      </c>
      <c r="I30" s="14">
        <v>-3</v>
      </c>
      <c r="J30" s="14">
        <v>-2</v>
      </c>
      <c r="K30" s="14">
        <v>-1</v>
      </c>
      <c r="L30" s="14">
        <v>0</v>
      </c>
      <c r="M30" s="13">
        <v>1</v>
      </c>
      <c r="N30" s="13">
        <v>2</v>
      </c>
      <c r="O30" s="13">
        <v>3</v>
      </c>
      <c r="P30" s="14">
        <v>4</v>
      </c>
    </row>
    <row r="31" spans="1:16" x14ac:dyDescent="0.25">
      <c r="A31" s="5"/>
      <c r="B31" s="5"/>
      <c r="C31" s="6" t="s">
        <v>12</v>
      </c>
      <c r="D31" s="4" t="s">
        <v>13</v>
      </c>
      <c r="F31" s="9"/>
      <c r="G31" s="9"/>
      <c r="H31" s="13">
        <f>-4*P54</f>
        <v>-4000</v>
      </c>
      <c r="I31" s="14">
        <f>-2.75*P54</f>
        <v>-2750</v>
      </c>
      <c r="J31" s="14">
        <f>-1.5*P54</f>
        <v>-1500</v>
      </c>
      <c r="K31" s="14">
        <f>-0.5*P54</f>
        <v>-500</v>
      </c>
      <c r="L31" s="14">
        <f>0*P54</f>
        <v>0</v>
      </c>
      <c r="M31" s="13">
        <f>0.5*P54</f>
        <v>500</v>
      </c>
      <c r="N31" s="13">
        <f>1.5*P54</f>
        <v>1500</v>
      </c>
      <c r="O31" s="13">
        <f>2.75*P54</f>
        <v>2750</v>
      </c>
      <c r="P31" s="14">
        <f>4*P54</f>
        <v>4000</v>
      </c>
    </row>
    <row r="32" spans="1:16" x14ac:dyDescent="0.25">
      <c r="B32" s="11"/>
      <c r="H32" s="12"/>
    </row>
    <row r="34" spans="16:16" x14ac:dyDescent="0.25">
      <c r="P34" s="4">
        <v>1000</v>
      </c>
    </row>
    <row r="38" spans="16:16" x14ac:dyDescent="0.25">
      <c r="P38" s="4">
        <v>1000</v>
      </c>
    </row>
    <row r="42" spans="16:16" x14ac:dyDescent="0.25">
      <c r="P42" s="4">
        <v>1000</v>
      </c>
    </row>
    <row r="46" spans="16:16" x14ac:dyDescent="0.25">
      <c r="P46" s="4">
        <v>1000</v>
      </c>
    </row>
    <row r="50" spans="16:16" x14ac:dyDescent="0.25">
      <c r="P50" s="4">
        <v>1000</v>
      </c>
    </row>
    <row r="54" spans="16:16" x14ac:dyDescent="0.25">
      <c r="P54" s="4">
        <v>1000</v>
      </c>
    </row>
  </sheetData>
  <conditionalFormatting sqref="B9:C11 B13:C31 A22 A30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BuARB_Sedan_f</vt:lpstr>
      <vt:lpstr>BuARB_Sedan_r</vt:lpstr>
      <vt:lpstr>BuARB_SedanLG_f</vt:lpstr>
      <vt:lpstr>BuARB_SedanLG_r</vt:lpstr>
      <vt:lpstr>BuARB_SedanLG_mac_f</vt:lpstr>
      <vt:lpstr>BuARB_Ach_f</vt:lpstr>
      <vt:lpstr>BuARB_Makhulu_f</vt:lpstr>
      <vt:lpstr>BuARB_SedanLGAU_f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2025-11-08T19:19:13Z</dcterms:modified>
</cp:coreProperties>
</file>