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02061FAC-FFD7-436C-9B42-3EA217B29DD8}" xr6:coauthVersionLast="47" xr6:coauthVersionMax="47" xr10:uidLastSave="{00000000-0000-0000-0000-000000000000}"/>
  <bookViews>
    <workbookView xWindow="-105" yWindow="0" windowWidth="14610" windowHeight="15585" tabRatio="988" xr2:uid="{5C9B011B-FECB-46A4-81D1-C980D278E613}"/>
  </bookViews>
  <sheets>
    <sheet name="Sef_LUT_Whl" sheetId="55" r:id="rId1"/>
    <sheet name="Ser_LUT_Whl" sheetId="5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57" l="1"/>
  <c r="O52" i="57"/>
  <c r="N52" i="57"/>
  <c r="M52" i="57"/>
  <c r="L52" i="57"/>
  <c r="K52" i="57"/>
  <c r="J52" i="57"/>
  <c r="I52" i="57"/>
  <c r="H52" i="57"/>
  <c r="P48" i="57"/>
  <c r="O48" i="57"/>
  <c r="N48" i="57"/>
  <c r="M48" i="57"/>
  <c r="L48" i="57"/>
  <c r="K48" i="57"/>
  <c r="J48" i="57"/>
  <c r="I48" i="57"/>
  <c r="H48" i="57"/>
  <c r="P44" i="57"/>
  <c r="O44" i="57"/>
  <c r="N44" i="57"/>
  <c r="M44" i="57"/>
  <c r="L44" i="57"/>
  <c r="K44" i="57"/>
  <c r="J44" i="57"/>
  <c r="I44" i="57"/>
  <c r="H44" i="57"/>
  <c r="P40" i="57"/>
  <c r="O40" i="57"/>
  <c r="N40" i="57"/>
  <c r="M40" i="57"/>
  <c r="L40" i="57"/>
  <c r="K40" i="57"/>
  <c r="J40" i="57"/>
  <c r="I40" i="57"/>
  <c r="H40" i="57"/>
  <c r="P36" i="57"/>
  <c r="O36" i="57"/>
  <c r="N36" i="57"/>
  <c r="M36" i="57"/>
  <c r="L36" i="57"/>
  <c r="K36" i="57"/>
  <c r="J36" i="57"/>
  <c r="I36" i="57"/>
  <c r="H36" i="57"/>
  <c r="P32" i="57"/>
  <c r="O32" i="57"/>
  <c r="N32" i="57"/>
  <c r="M32" i="57"/>
  <c r="L32" i="57"/>
  <c r="K32" i="57"/>
  <c r="J32" i="57"/>
  <c r="I32" i="57"/>
  <c r="H32" i="57"/>
  <c r="P28" i="57"/>
  <c r="O28" i="57"/>
  <c r="N28" i="57"/>
  <c r="M28" i="57"/>
  <c r="L28" i="57"/>
  <c r="K28" i="57"/>
  <c r="J28" i="57"/>
  <c r="I28" i="57"/>
  <c r="H28" i="57"/>
  <c r="P24" i="57"/>
  <c r="O24" i="57"/>
  <c r="N24" i="57"/>
  <c r="M24" i="57"/>
  <c r="L24" i="57"/>
  <c r="K24" i="57"/>
  <c r="J24" i="57"/>
  <c r="I24" i="57"/>
  <c r="H24" i="57"/>
  <c r="P20" i="57"/>
  <c r="O20" i="57"/>
  <c r="N20" i="57"/>
  <c r="M20" i="57"/>
  <c r="L20" i="57"/>
  <c r="K20" i="57"/>
  <c r="J20" i="57"/>
  <c r="I20" i="57"/>
  <c r="H20" i="57"/>
  <c r="P16" i="57"/>
  <c r="O16" i="57"/>
  <c r="N16" i="57"/>
  <c r="M16" i="57"/>
  <c r="L16" i="57"/>
  <c r="K16" i="57"/>
  <c r="J16" i="57"/>
  <c r="I16" i="57"/>
  <c r="H16" i="57"/>
  <c r="P12" i="57"/>
  <c r="O12" i="57"/>
  <c r="N12" i="57"/>
  <c r="M12" i="57"/>
  <c r="L12" i="57"/>
  <c r="K12" i="57"/>
  <c r="J12" i="57"/>
  <c r="I12" i="57"/>
  <c r="H12" i="57"/>
  <c r="P8" i="57"/>
  <c r="O8" i="57"/>
  <c r="N8" i="57"/>
  <c r="M8" i="57"/>
  <c r="L8" i="57"/>
  <c r="K8" i="57"/>
  <c r="J8" i="57"/>
  <c r="I8" i="57"/>
  <c r="H8" i="57"/>
  <c r="H32" i="55"/>
  <c r="P52" i="55" l="1"/>
  <c r="O52" i="55"/>
  <c r="N52" i="55"/>
  <c r="M52" i="55"/>
  <c r="L52" i="55"/>
  <c r="K52" i="55"/>
  <c r="J52" i="55"/>
  <c r="I52" i="55"/>
  <c r="H52" i="55"/>
  <c r="P48" i="55"/>
  <c r="O48" i="55"/>
  <c r="N48" i="55"/>
  <c r="M48" i="55"/>
  <c r="L48" i="55"/>
  <c r="K48" i="55"/>
  <c r="J48" i="55"/>
  <c r="I48" i="55"/>
  <c r="H48" i="55"/>
  <c r="P44" i="55"/>
  <c r="O44" i="55"/>
  <c r="N44" i="55"/>
  <c r="M44" i="55"/>
  <c r="L44" i="55"/>
  <c r="K44" i="55"/>
  <c r="J44" i="55"/>
  <c r="I44" i="55"/>
  <c r="H44" i="55"/>
  <c r="P40" i="55"/>
  <c r="O40" i="55"/>
  <c r="N40" i="55"/>
  <c r="M40" i="55"/>
  <c r="L40" i="55"/>
  <c r="K40" i="55"/>
  <c r="J40" i="55"/>
  <c r="I40" i="55"/>
  <c r="H40" i="55"/>
  <c r="P36" i="55"/>
  <c r="O36" i="55"/>
  <c r="N36" i="55"/>
  <c r="M36" i="55"/>
  <c r="L36" i="55"/>
  <c r="K36" i="55"/>
  <c r="J36" i="55"/>
  <c r="I36" i="55"/>
  <c r="H36" i="55"/>
  <c r="P32" i="55"/>
  <c r="O32" i="55"/>
  <c r="N32" i="55"/>
  <c r="M32" i="55"/>
  <c r="L32" i="55"/>
  <c r="K32" i="55"/>
  <c r="J32" i="55"/>
  <c r="I32" i="55"/>
  <c r="P28" i="55"/>
  <c r="O28" i="55"/>
  <c r="N28" i="55"/>
  <c r="M28" i="55"/>
  <c r="L28" i="55"/>
  <c r="K28" i="55"/>
  <c r="J28" i="55"/>
  <c r="I28" i="55"/>
  <c r="H28" i="55"/>
  <c r="P24" i="55"/>
  <c r="O24" i="55"/>
  <c r="N24" i="55"/>
  <c r="M24" i="55"/>
  <c r="L24" i="55"/>
  <c r="K24" i="55"/>
  <c r="J24" i="55"/>
  <c r="I24" i="55"/>
  <c r="H24" i="55"/>
  <c r="P20" i="55"/>
  <c r="O20" i="55"/>
  <c r="N20" i="55"/>
  <c r="M20" i="55"/>
  <c r="L20" i="55"/>
  <c r="K20" i="55"/>
  <c r="J20" i="55"/>
  <c r="I20" i="55"/>
  <c r="H20" i="55"/>
  <c r="P16" i="55"/>
  <c r="O16" i="55"/>
  <c r="N16" i="55"/>
  <c r="M16" i="55"/>
  <c r="L16" i="55"/>
  <c r="K16" i="55"/>
  <c r="J16" i="55"/>
  <c r="I16" i="55"/>
  <c r="H16" i="55"/>
  <c r="P12" i="55"/>
  <c r="O12" i="55"/>
  <c r="N12" i="55"/>
  <c r="M12" i="55"/>
  <c r="L12" i="55"/>
  <c r="K12" i="55"/>
  <c r="J12" i="55"/>
  <c r="I12" i="55"/>
  <c r="H12" i="55"/>
  <c r="P8" i="55"/>
  <c r="O8" i="55"/>
  <c r="N8" i="55"/>
  <c r="M8" i="55"/>
  <c r="L8" i="55"/>
  <c r="K8" i="55"/>
  <c r="J8" i="55"/>
  <c r="I8" i="55"/>
  <c r="H8" i="55"/>
</calcChain>
</file>

<file path=xl/sharedStrings.xml><?xml version="1.0" encoding="utf-8"?>
<sst xmlns="http://schemas.openxmlformats.org/spreadsheetml/2006/main" count="338" uniqueCount="59">
  <si>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</si>
  <si>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</si>
  <si>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</si>
  <si>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</si>
  <si>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</si>
  <si>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</si>
  <si>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</si>
  <si>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</si>
  <si>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</si>
  <si>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</si>
  <si>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</si>
  <si>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</si>
  <si>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</si>
  <si>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N</t>
  </si>
  <si>
    <t>v</t>
  </si>
  <si>
    <t>m/s</t>
  </si>
  <si>
    <t>Law</t>
  </si>
  <si>
    <t>Table</t>
  </si>
  <si>
    <t>Linear / Table</t>
  </si>
  <si>
    <t>class</t>
  </si>
  <si>
    <t>N/mm</t>
  </si>
  <si>
    <t>Bushing_Tr3Ro3</t>
  </si>
  <si>
    <t>deg</t>
  </si>
  <si>
    <t>N*m/deg</t>
  </si>
  <si>
    <t>N*m/(deg/s)</t>
  </si>
  <si>
    <t>N*m</t>
  </si>
  <si>
    <t>deg/s</t>
  </si>
  <si>
    <t>Scale Translation</t>
  </si>
  <si>
    <t>Scale Rotation</t>
  </si>
  <si>
    <t>q</t>
  </si>
  <si>
    <t>t</t>
  </si>
  <si>
    <t>w</t>
  </si>
  <si>
    <t>frKx</t>
  </si>
  <si>
    <t>frKy</t>
  </si>
  <si>
    <t>frKz</t>
  </si>
  <si>
    <t>frDx</t>
  </si>
  <si>
    <t>frDy</t>
  </si>
  <si>
    <t>frDz</t>
  </si>
  <si>
    <t>reKx</t>
  </si>
  <si>
    <t>reKy</t>
  </si>
  <si>
    <t>reKz</t>
  </si>
  <si>
    <t>reDx</t>
  </si>
  <si>
    <t>reDy</t>
  </si>
  <si>
    <t>reDz</t>
  </si>
  <si>
    <t>Compliance_Tr3Ro3_Sef_LUT_Whl</t>
  </si>
  <si>
    <t>Compliance_Tr3Ro3_Ser_LUT_Whl</t>
  </si>
  <si>
    <t>Susp_Compliance</t>
  </si>
  <si>
    <t>SpringX</t>
  </si>
  <si>
    <t>DamperX</t>
  </si>
  <si>
    <t>SpringY</t>
  </si>
  <si>
    <t>DamperY</t>
  </si>
  <si>
    <t>SpringZ</t>
  </si>
  <si>
    <t>DamperZ</t>
  </si>
  <si>
    <t>SpringqX</t>
  </si>
  <si>
    <t>DamperqX</t>
  </si>
  <si>
    <t>SpringqY</t>
  </si>
  <si>
    <t>DamperqY</t>
  </si>
  <si>
    <t>SpringqZ</t>
  </si>
  <si>
    <t>DamperqZ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</si>
</sst>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0" fontId="1" fillId="3" borderId="1" xfId="1" applyFill="1" applyBorder="1" applyAlignment="1">
      <alignment horizontal="left"/>
    </xf>
    <xf numFmtId="0" fontId="1" fillId="3" borderId="1" xfId="1" applyFill="1" applyBorder="1"/>
    <xf numFmtId="0" fontId="1" fillId="0" borderId="1" xfId="1" applyBorder="1"/>
    <xf numFmtId="0" fontId="3" fillId="0" borderId="1" xfId="1" applyFont="1" applyBorder="1"/>
    <xf numFmtId="164" fontId="3" fillId="0" borderId="1" xfId="1" applyNumberFormat="1" applyFont="1" applyBorder="1"/>
    <xf numFmtId="164" fontId="1" fillId="0" borderId="1" xfId="1" applyNumberFormat="1" applyBorder="1"/>
    <xf numFmtId="0" fontId="1" fillId="0" borderId="0" xfId="1" applyAlignment="1">
      <alignment horizontal="right"/>
    </xf>
    <xf numFmtId="0" fontId="1" fillId="0" borderId="2" xfId="1" applyBorder="1"/>
  </cellXfs>
  <cellStyles count="2">
    <cellStyle name="Normal" xfId="0" builtinId="0"/>
    <cellStyle name="Normal 2" xfId="1" xr:uid="{59B68FC0-DF65-45B7-9161-1BA244C01964}"/>
  </cellStyles>
  <dxfs count="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FA44-80DF-4874-8A6A-26C0686DF313}">
  <sheetPr>
    <tabColor theme="9" tint="0.59999389629810485"/>
  </sheetPr>
  <dimension ref="A1:P67"/>
  <sheetViews>
    <sheetView tabSelected="1" topLeftCell="A13" workbookViewId="0">
      <selection activeCell="I41" sqref="I41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5.42578125" style="4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46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21</v>
      </c>
    </row>
    <row r="4" spans="1:16" x14ac:dyDescent="0.25">
      <c r="A4" s="5" t="s">
        <v>6</v>
      </c>
      <c r="B4" s="6"/>
      <c r="C4" s="6"/>
      <c r="F4" s="7"/>
      <c r="G4" s="7"/>
      <c r="H4" s="8" t="s">
        <v>44</v>
      </c>
    </row>
    <row r="5" spans="1:16" x14ac:dyDescent="0.25">
      <c r="A5" s="5" t="s">
        <v>47</v>
      </c>
      <c r="B5" s="6" t="s">
        <v>16</v>
      </c>
      <c r="C5" s="6"/>
      <c r="E5" s="4" t="s">
        <v>18</v>
      </c>
      <c r="H5" s="14" t="s">
        <v>7</v>
      </c>
    </row>
    <row r="6" spans="1:16" x14ac:dyDescent="0.25">
      <c r="A6" s="5"/>
      <c r="B6" s="5" t="s">
        <v>7</v>
      </c>
      <c r="C6" s="6" t="s">
        <v>11</v>
      </c>
      <c r="D6" s="4" t="s">
        <v>20</v>
      </c>
      <c r="F6" s="9"/>
      <c r="G6" s="9"/>
      <c r="H6" s="10">
        <v>5000</v>
      </c>
    </row>
    <row r="7" spans="1:16" x14ac:dyDescent="0.25">
      <c r="A7" s="5"/>
      <c r="B7" s="5" t="s">
        <v>17</v>
      </c>
      <c r="C7" s="6" t="s">
        <v>2</v>
      </c>
      <c r="D7" s="4" t="s">
        <v>10</v>
      </c>
      <c r="F7" s="9"/>
      <c r="G7" s="9"/>
      <c r="H7" s="12">
        <v>-4</v>
      </c>
      <c r="I7" s="13">
        <v>-3</v>
      </c>
      <c r="J7" s="13">
        <v>-2</v>
      </c>
      <c r="K7" s="13">
        <v>-1</v>
      </c>
      <c r="L7" s="13">
        <v>0</v>
      </c>
      <c r="M7" s="12">
        <v>1</v>
      </c>
      <c r="N7" s="12">
        <v>2</v>
      </c>
      <c r="O7" s="12">
        <v>3</v>
      </c>
      <c r="P7" s="13">
        <v>4</v>
      </c>
    </row>
    <row r="8" spans="1:16" x14ac:dyDescent="0.25">
      <c r="A8" s="5"/>
      <c r="B8" s="5"/>
      <c r="C8" s="6" t="s">
        <v>12</v>
      </c>
      <c r="D8" s="4" t="s">
        <v>13</v>
      </c>
      <c r="F8" s="9"/>
      <c r="G8" s="9"/>
      <c r="H8" s="12">
        <f>-4*O56</f>
        <v>-4000</v>
      </c>
      <c r="I8" s="13">
        <f>-2.75*O56</f>
        <v>-2750</v>
      </c>
      <c r="J8" s="13">
        <f>-1.5*O56</f>
        <v>-1500</v>
      </c>
      <c r="K8" s="13">
        <f>-0.5*O56</f>
        <v>-500</v>
      </c>
      <c r="L8" s="13">
        <f>0*O56</f>
        <v>0</v>
      </c>
      <c r="M8" s="12">
        <f>0.5*O56</f>
        <v>500</v>
      </c>
      <c r="N8" s="12">
        <f>1.5*O56</f>
        <v>1500</v>
      </c>
      <c r="O8" s="12">
        <f>2.75*O56</f>
        <v>2750</v>
      </c>
      <c r="P8" s="13">
        <f>4*O56</f>
        <v>4000</v>
      </c>
    </row>
    <row r="9" spans="1:16" x14ac:dyDescent="0.25">
      <c r="A9" s="5" t="s">
        <v>48</v>
      </c>
      <c r="B9" s="6" t="s">
        <v>16</v>
      </c>
      <c r="C9" s="6"/>
      <c r="E9" s="4" t="s">
        <v>18</v>
      </c>
      <c r="H9" s="14" t="s">
        <v>7</v>
      </c>
      <c r="I9" s="13"/>
      <c r="J9" s="13"/>
      <c r="K9" s="13"/>
    </row>
    <row r="10" spans="1:16" x14ac:dyDescent="0.25">
      <c r="A10" s="5"/>
      <c r="B10" s="5" t="s">
        <v>7</v>
      </c>
      <c r="C10" s="6" t="s">
        <v>8</v>
      </c>
      <c r="D10" s="4" t="s">
        <v>9</v>
      </c>
      <c r="F10" s="9"/>
      <c r="G10" s="9"/>
      <c r="H10" s="10">
        <v>500</v>
      </c>
      <c r="I10" s="13"/>
      <c r="J10" s="13"/>
      <c r="K10" s="13"/>
    </row>
    <row r="11" spans="1:16" x14ac:dyDescent="0.25">
      <c r="A11" s="5"/>
      <c r="B11" s="5" t="s">
        <v>17</v>
      </c>
      <c r="C11" s="6" t="s">
        <v>14</v>
      </c>
      <c r="D11" s="4" t="s">
        <v>15</v>
      </c>
      <c r="F11" s="9"/>
      <c r="G11" s="9"/>
      <c r="H11" s="12">
        <v>-4</v>
      </c>
      <c r="I11" s="13">
        <v>-3</v>
      </c>
      <c r="J11" s="13">
        <v>-2</v>
      </c>
      <c r="K11" s="13">
        <v>-1</v>
      </c>
      <c r="L11" s="13">
        <v>0</v>
      </c>
      <c r="M11" s="12">
        <v>1</v>
      </c>
      <c r="N11" s="12">
        <v>2</v>
      </c>
      <c r="O11" s="12">
        <v>3</v>
      </c>
      <c r="P11" s="13">
        <v>4</v>
      </c>
    </row>
    <row r="12" spans="1:16" x14ac:dyDescent="0.25">
      <c r="A12" s="6"/>
      <c r="B12" s="5"/>
      <c r="C12" s="6" t="s">
        <v>12</v>
      </c>
      <c r="D12" s="4" t="s">
        <v>13</v>
      </c>
      <c r="F12" s="9"/>
      <c r="G12" s="9"/>
      <c r="H12" s="12">
        <f>-4*O57</f>
        <v>-4000</v>
      </c>
      <c r="I12" s="13">
        <f>-2.75*O57</f>
        <v>-2750</v>
      </c>
      <c r="J12" s="13">
        <f>-1.5*O57</f>
        <v>-1500</v>
      </c>
      <c r="K12" s="13">
        <f>-0.5*O57</f>
        <v>-500</v>
      </c>
      <c r="L12" s="13">
        <f>0*O57</f>
        <v>0</v>
      </c>
      <c r="M12" s="12">
        <f>0.5*O57</f>
        <v>500</v>
      </c>
      <c r="N12" s="12">
        <f>1.5*O57</f>
        <v>1500</v>
      </c>
      <c r="O12" s="12">
        <f>2.75*O57</f>
        <v>2750</v>
      </c>
      <c r="P12" s="13">
        <f>4*O57</f>
        <v>4000</v>
      </c>
    </row>
    <row r="13" spans="1:16" x14ac:dyDescent="0.25">
      <c r="A13" s="6" t="s">
        <v>49</v>
      </c>
      <c r="B13" s="5" t="s">
        <v>16</v>
      </c>
      <c r="C13" s="6"/>
      <c r="E13" s="4" t="s">
        <v>18</v>
      </c>
      <c r="F13" s="9"/>
      <c r="G13" s="9"/>
      <c r="H13" s="14" t="s">
        <v>7</v>
      </c>
      <c r="I13" s="13"/>
      <c r="J13" s="13"/>
      <c r="K13" s="13"/>
      <c r="L13" s="13"/>
      <c r="M13" s="12"/>
      <c r="N13" s="12"/>
      <c r="O13" s="12"/>
      <c r="P13" s="13"/>
    </row>
    <row r="14" spans="1:16" x14ac:dyDescent="0.25">
      <c r="A14" s="5"/>
      <c r="B14" s="5" t="s">
        <v>7</v>
      </c>
      <c r="C14" s="6" t="s">
        <v>11</v>
      </c>
      <c r="D14" s="4" t="s">
        <v>20</v>
      </c>
      <c r="F14" s="9"/>
      <c r="G14" s="9"/>
      <c r="H14" s="10">
        <v>5000</v>
      </c>
    </row>
    <row r="15" spans="1:16" x14ac:dyDescent="0.25">
      <c r="A15" s="5"/>
      <c r="B15" s="5" t="s">
        <v>17</v>
      </c>
      <c r="C15" s="6" t="s">
        <v>2</v>
      </c>
      <c r="D15" s="4" t="s">
        <v>10</v>
      </c>
      <c r="F15" s="9"/>
      <c r="G15" s="9"/>
      <c r="H15" s="12">
        <v>-4</v>
      </c>
      <c r="I15" s="13">
        <v>-3</v>
      </c>
      <c r="J15" s="13">
        <v>-2</v>
      </c>
      <c r="K15" s="13">
        <v>-1</v>
      </c>
      <c r="L15" s="13">
        <v>0</v>
      </c>
      <c r="M15" s="12">
        <v>1</v>
      </c>
      <c r="N15" s="12">
        <v>2</v>
      </c>
      <c r="O15" s="12">
        <v>3</v>
      </c>
      <c r="P15" s="13">
        <v>4</v>
      </c>
    </row>
    <row r="16" spans="1:16" x14ac:dyDescent="0.25">
      <c r="A16" s="5"/>
      <c r="B16" s="5"/>
      <c r="C16" s="6" t="s">
        <v>12</v>
      </c>
      <c r="D16" s="4" t="s">
        <v>13</v>
      </c>
      <c r="F16" s="9"/>
      <c r="G16" s="9"/>
      <c r="H16" s="12">
        <f>-4*O58</f>
        <v>-4000</v>
      </c>
      <c r="I16" s="13">
        <f>-2.75*O58</f>
        <v>-2750</v>
      </c>
      <c r="J16" s="13">
        <f>-1.5*O58</f>
        <v>-1500</v>
      </c>
      <c r="K16" s="13">
        <f>-0.5*O58</f>
        <v>-500</v>
      </c>
      <c r="L16" s="13">
        <f>0*O58</f>
        <v>0</v>
      </c>
      <c r="M16" s="12">
        <f>0.5*O58</f>
        <v>500</v>
      </c>
      <c r="N16" s="12">
        <f>1.5*O58</f>
        <v>1500</v>
      </c>
      <c r="O16" s="12">
        <f>2.75*O58</f>
        <v>2750</v>
      </c>
      <c r="P16" s="13">
        <f>4*O58</f>
        <v>4000</v>
      </c>
    </row>
    <row r="17" spans="1:16" x14ac:dyDescent="0.25">
      <c r="A17" s="5" t="s">
        <v>50</v>
      </c>
      <c r="B17" s="5" t="s">
        <v>16</v>
      </c>
      <c r="C17" s="6"/>
      <c r="E17" s="4" t="s">
        <v>18</v>
      </c>
      <c r="F17" s="9"/>
      <c r="G17" s="9"/>
      <c r="H17" s="14" t="s">
        <v>7</v>
      </c>
      <c r="I17" s="13"/>
      <c r="J17" s="13"/>
      <c r="K17" s="13"/>
      <c r="L17" s="13"/>
      <c r="M17" s="12"/>
      <c r="N17" s="12"/>
      <c r="O17" s="12"/>
      <c r="P17" s="13"/>
    </row>
    <row r="18" spans="1:16" x14ac:dyDescent="0.25">
      <c r="A18" s="5"/>
      <c r="B18" s="5" t="s">
        <v>7</v>
      </c>
      <c r="C18" s="6" t="s">
        <v>8</v>
      </c>
      <c r="D18" s="4" t="s">
        <v>9</v>
      </c>
      <c r="F18" s="9"/>
      <c r="G18" s="9"/>
      <c r="H18" s="10">
        <v>500</v>
      </c>
      <c r="I18" s="13"/>
      <c r="J18" s="13"/>
      <c r="K18" s="13"/>
    </row>
    <row r="19" spans="1:16" x14ac:dyDescent="0.25">
      <c r="A19" s="5"/>
      <c r="B19" s="5" t="s">
        <v>17</v>
      </c>
      <c r="C19" s="6" t="s">
        <v>14</v>
      </c>
      <c r="D19" s="4" t="s">
        <v>15</v>
      </c>
      <c r="F19" s="9"/>
      <c r="G19" s="9"/>
      <c r="H19" s="12">
        <v>-4</v>
      </c>
      <c r="I19" s="13">
        <v>-3</v>
      </c>
      <c r="J19" s="13">
        <v>-2</v>
      </c>
      <c r="K19" s="13">
        <v>-1</v>
      </c>
      <c r="L19" s="13">
        <v>0</v>
      </c>
      <c r="M19" s="12">
        <v>1</v>
      </c>
      <c r="N19" s="12">
        <v>2</v>
      </c>
      <c r="O19" s="12">
        <v>3</v>
      </c>
      <c r="P19" s="13">
        <v>4</v>
      </c>
    </row>
    <row r="20" spans="1:16" x14ac:dyDescent="0.25">
      <c r="A20" s="5"/>
      <c r="B20" s="5"/>
      <c r="C20" s="6" t="s">
        <v>12</v>
      </c>
      <c r="D20" s="4" t="s">
        <v>13</v>
      </c>
      <c r="F20" s="9"/>
      <c r="G20" s="9"/>
      <c r="H20" s="12">
        <f>-4*O59</f>
        <v>-4000</v>
      </c>
      <c r="I20" s="13">
        <f>-2.75*O59</f>
        <v>-2750</v>
      </c>
      <c r="J20" s="13">
        <f>-1.5*O59</f>
        <v>-1500</v>
      </c>
      <c r="K20" s="13">
        <f>-0.5*O59</f>
        <v>-500</v>
      </c>
      <c r="L20" s="13">
        <f>0*O59</f>
        <v>0</v>
      </c>
      <c r="M20" s="12">
        <f>0.5*O59</f>
        <v>500</v>
      </c>
      <c r="N20" s="12">
        <f>1.5*O59</f>
        <v>1500</v>
      </c>
      <c r="O20" s="12">
        <f>2.75*O59</f>
        <v>2750</v>
      </c>
      <c r="P20" s="13">
        <f>4*O59</f>
        <v>4000</v>
      </c>
    </row>
    <row r="21" spans="1:16" x14ac:dyDescent="0.25">
      <c r="A21" s="6" t="s">
        <v>51</v>
      </c>
      <c r="B21" s="5" t="s">
        <v>16</v>
      </c>
      <c r="C21" s="6"/>
      <c r="E21" s="4" t="s">
        <v>18</v>
      </c>
      <c r="F21" s="9"/>
      <c r="G21" s="9"/>
      <c r="H21" s="14" t="s">
        <v>7</v>
      </c>
      <c r="I21" s="13"/>
      <c r="J21" s="13"/>
      <c r="K21" s="13"/>
      <c r="L21" s="13"/>
      <c r="M21" s="12"/>
      <c r="N21" s="12"/>
      <c r="O21" s="12"/>
      <c r="P21" s="13"/>
    </row>
    <row r="22" spans="1:16" x14ac:dyDescent="0.25">
      <c r="A22" s="5"/>
      <c r="B22" s="5" t="s">
        <v>7</v>
      </c>
      <c r="C22" s="6" t="s">
        <v>11</v>
      </c>
      <c r="D22" s="4" t="s">
        <v>20</v>
      </c>
      <c r="F22" s="9"/>
      <c r="G22" s="9"/>
      <c r="H22" s="10">
        <v>500</v>
      </c>
    </row>
    <row r="23" spans="1:16" x14ac:dyDescent="0.25">
      <c r="A23" s="5"/>
      <c r="B23" s="5" t="s">
        <v>17</v>
      </c>
      <c r="C23" s="6" t="s">
        <v>2</v>
      </c>
      <c r="D23" s="4" t="s">
        <v>10</v>
      </c>
      <c r="F23" s="9"/>
      <c r="G23" s="9"/>
      <c r="H23" s="12">
        <v>-4</v>
      </c>
      <c r="I23" s="13">
        <v>-3</v>
      </c>
      <c r="J23" s="13">
        <v>-2</v>
      </c>
      <c r="K23" s="13">
        <v>-1</v>
      </c>
      <c r="L23" s="13">
        <v>0</v>
      </c>
      <c r="M23" s="12">
        <v>1</v>
      </c>
      <c r="N23" s="12">
        <v>2</v>
      </c>
      <c r="O23" s="12">
        <v>3</v>
      </c>
      <c r="P23" s="13">
        <v>4</v>
      </c>
    </row>
    <row r="24" spans="1:16" x14ac:dyDescent="0.25">
      <c r="A24" s="5"/>
      <c r="B24" s="5"/>
      <c r="C24" s="6" t="s">
        <v>12</v>
      </c>
      <c r="D24" s="4" t="s">
        <v>13</v>
      </c>
      <c r="F24" s="9"/>
      <c r="G24" s="9"/>
      <c r="H24" s="12">
        <f>-4*O60</f>
        <v>-4000</v>
      </c>
      <c r="I24" s="13">
        <f>-2.75*O60</f>
        <v>-2750</v>
      </c>
      <c r="J24" s="13">
        <f>-1.5*O60</f>
        <v>-1500</v>
      </c>
      <c r="K24" s="13">
        <f>-0.5*O60</f>
        <v>-500</v>
      </c>
      <c r="L24" s="13">
        <f>0*O60</f>
        <v>0</v>
      </c>
      <c r="M24" s="12">
        <f>0.5*O60</f>
        <v>500</v>
      </c>
      <c r="N24" s="12">
        <f>1.5*O60</f>
        <v>1500</v>
      </c>
      <c r="O24" s="12">
        <f>2.75*O60</f>
        <v>2750</v>
      </c>
      <c r="P24" s="13">
        <f>4*O60</f>
        <v>4000</v>
      </c>
    </row>
    <row r="25" spans="1:16" x14ac:dyDescent="0.25">
      <c r="A25" s="5" t="s">
        <v>52</v>
      </c>
      <c r="B25" s="5" t="s">
        <v>16</v>
      </c>
      <c r="C25" s="6"/>
      <c r="E25" s="4" t="s">
        <v>18</v>
      </c>
      <c r="F25" s="9"/>
      <c r="G25" s="9"/>
      <c r="H25" s="14" t="s">
        <v>7</v>
      </c>
      <c r="I25" s="13"/>
      <c r="J25" s="13"/>
      <c r="K25" s="13"/>
      <c r="L25" s="13"/>
      <c r="M25" s="12"/>
      <c r="N25" s="12"/>
      <c r="O25" s="12"/>
      <c r="P25" s="13"/>
    </row>
    <row r="26" spans="1:16" x14ac:dyDescent="0.25">
      <c r="A26" s="5"/>
      <c r="B26" s="5" t="s">
        <v>7</v>
      </c>
      <c r="C26" s="6" t="s">
        <v>8</v>
      </c>
      <c r="D26" s="4" t="s">
        <v>9</v>
      </c>
      <c r="F26" s="9"/>
      <c r="G26" s="9"/>
      <c r="H26" s="10">
        <v>50</v>
      </c>
      <c r="I26" s="13"/>
      <c r="J26" s="13"/>
      <c r="K26" s="13"/>
    </row>
    <row r="27" spans="1:16" x14ac:dyDescent="0.25">
      <c r="A27" s="5"/>
      <c r="B27" s="5" t="s">
        <v>17</v>
      </c>
      <c r="C27" s="6" t="s">
        <v>14</v>
      </c>
      <c r="D27" s="4" t="s">
        <v>15</v>
      </c>
      <c r="F27" s="9"/>
      <c r="G27" s="9"/>
      <c r="H27" s="12">
        <v>-4</v>
      </c>
      <c r="I27" s="13">
        <v>-3</v>
      </c>
      <c r="J27" s="13">
        <v>-2</v>
      </c>
      <c r="K27" s="13">
        <v>-1</v>
      </c>
      <c r="L27" s="13">
        <v>0</v>
      </c>
      <c r="M27" s="12">
        <v>1</v>
      </c>
      <c r="N27" s="12">
        <v>2</v>
      </c>
      <c r="O27" s="12">
        <v>3</v>
      </c>
      <c r="P27" s="13">
        <v>4</v>
      </c>
    </row>
    <row r="28" spans="1:16" x14ac:dyDescent="0.25">
      <c r="A28" s="19"/>
      <c r="B28" s="19"/>
      <c r="C28" s="20" t="s">
        <v>12</v>
      </c>
      <c r="D28" s="21" t="s">
        <v>13</v>
      </c>
      <c r="E28" s="21"/>
      <c r="F28" s="22"/>
      <c r="G28" s="22"/>
      <c r="H28" s="23">
        <f>-4*O61</f>
        <v>-4000</v>
      </c>
      <c r="I28" s="24">
        <f>-2.75*O61</f>
        <v>-2750</v>
      </c>
      <c r="J28" s="24">
        <f>-1.5*O61</f>
        <v>-1500</v>
      </c>
      <c r="K28" s="24">
        <f>-0.5*O61</f>
        <v>-500</v>
      </c>
      <c r="L28" s="24">
        <f>0*O61</f>
        <v>0</v>
      </c>
      <c r="M28" s="23">
        <f>0.5*O61</f>
        <v>500</v>
      </c>
      <c r="N28" s="23">
        <f>1.5*O61</f>
        <v>1500</v>
      </c>
      <c r="O28" s="23">
        <f>2.75*O61</f>
        <v>2750</v>
      </c>
      <c r="P28" s="24">
        <f>4*O61</f>
        <v>4000</v>
      </c>
    </row>
    <row r="29" spans="1:16" x14ac:dyDescent="0.25">
      <c r="A29" s="5" t="s">
        <v>53</v>
      </c>
      <c r="B29" s="6" t="s">
        <v>16</v>
      </c>
      <c r="C29" s="6"/>
      <c r="E29" s="4" t="s">
        <v>18</v>
      </c>
      <c r="H29" s="14" t="s">
        <v>7</v>
      </c>
    </row>
    <row r="30" spans="1:16" x14ac:dyDescent="0.25">
      <c r="A30" s="5"/>
      <c r="B30" s="5" t="s">
        <v>7</v>
      </c>
      <c r="C30" s="6" t="s">
        <v>11</v>
      </c>
      <c r="D30" s="4" t="s">
        <v>23</v>
      </c>
      <c r="F30" s="9"/>
      <c r="G30" s="9"/>
      <c r="H30" s="12">
        <v>5000</v>
      </c>
    </row>
    <row r="31" spans="1:16" x14ac:dyDescent="0.25">
      <c r="A31" s="5"/>
      <c r="B31" s="5" t="s">
        <v>17</v>
      </c>
      <c r="C31" s="6" t="s">
        <v>29</v>
      </c>
      <c r="D31" s="4" t="s">
        <v>22</v>
      </c>
      <c r="F31" s="9"/>
      <c r="G31" s="9"/>
      <c r="H31" s="12">
        <v>-16</v>
      </c>
      <c r="I31" s="13">
        <v>-8</v>
      </c>
      <c r="J31" s="13">
        <v>-4</v>
      </c>
      <c r="K31" s="13">
        <v>-2</v>
      </c>
      <c r="L31" s="13">
        <v>0</v>
      </c>
      <c r="M31" s="12">
        <v>2</v>
      </c>
      <c r="N31" s="12">
        <v>4</v>
      </c>
      <c r="O31" s="12">
        <v>8</v>
      </c>
      <c r="P31" s="13">
        <v>16</v>
      </c>
    </row>
    <row r="32" spans="1:16" x14ac:dyDescent="0.25">
      <c r="A32" s="5"/>
      <c r="B32" s="5"/>
      <c r="C32" s="6" t="s">
        <v>30</v>
      </c>
      <c r="D32" s="4" t="s">
        <v>25</v>
      </c>
      <c r="F32" s="9"/>
      <c r="G32" s="9"/>
      <c r="H32" s="12">
        <f>H31*$P$56</f>
        <v>-16</v>
      </c>
      <c r="I32" s="12">
        <f t="shared" ref="I32:P32" si="0">I31*$P$56</f>
        <v>-8</v>
      </c>
      <c r="J32" s="12">
        <f t="shared" si="0"/>
        <v>-4</v>
      </c>
      <c r="K32" s="12">
        <f t="shared" si="0"/>
        <v>-2</v>
      </c>
      <c r="L32" s="12">
        <f t="shared" si="0"/>
        <v>0</v>
      </c>
      <c r="M32" s="12">
        <f t="shared" si="0"/>
        <v>2</v>
      </c>
      <c r="N32" s="12">
        <f t="shared" si="0"/>
        <v>4</v>
      </c>
      <c r="O32" s="12">
        <f t="shared" si="0"/>
        <v>8</v>
      </c>
      <c r="P32" s="12">
        <f t="shared" si="0"/>
        <v>16</v>
      </c>
    </row>
    <row r="33" spans="1:16" x14ac:dyDescent="0.25">
      <c r="A33" s="5" t="s">
        <v>54</v>
      </c>
      <c r="B33" s="6" t="s">
        <v>16</v>
      </c>
      <c r="C33" s="6"/>
      <c r="E33" s="4" t="s">
        <v>18</v>
      </c>
      <c r="H33" s="14" t="s">
        <v>7</v>
      </c>
      <c r="I33" s="13"/>
      <c r="J33" s="13"/>
      <c r="K33" s="13"/>
    </row>
    <row r="34" spans="1:16" x14ac:dyDescent="0.25">
      <c r="A34" s="5"/>
      <c r="B34" s="5" t="s">
        <v>7</v>
      </c>
      <c r="C34" s="6" t="s">
        <v>8</v>
      </c>
      <c r="D34" s="4" t="s">
        <v>24</v>
      </c>
      <c r="F34" s="9"/>
      <c r="G34" s="9"/>
      <c r="H34" s="12">
        <v>500</v>
      </c>
      <c r="I34" s="13"/>
      <c r="J34" s="13"/>
      <c r="K34" s="13"/>
    </row>
    <row r="35" spans="1:16" x14ac:dyDescent="0.25">
      <c r="A35" s="5"/>
      <c r="B35" s="5" t="s">
        <v>17</v>
      </c>
      <c r="C35" s="6" t="s">
        <v>31</v>
      </c>
      <c r="D35" s="4" t="s">
        <v>26</v>
      </c>
      <c r="F35" s="9"/>
      <c r="G35" s="9"/>
      <c r="H35" s="12">
        <v>-16</v>
      </c>
      <c r="I35" s="13">
        <v>-8</v>
      </c>
      <c r="J35" s="13">
        <v>-4</v>
      </c>
      <c r="K35" s="13">
        <v>-2</v>
      </c>
      <c r="L35" s="13">
        <v>0</v>
      </c>
      <c r="M35" s="12">
        <v>2</v>
      </c>
      <c r="N35" s="12">
        <v>4</v>
      </c>
      <c r="O35" s="12">
        <v>8</v>
      </c>
      <c r="P35" s="13">
        <v>16</v>
      </c>
    </row>
    <row r="36" spans="1:16" x14ac:dyDescent="0.25">
      <c r="A36" s="6"/>
      <c r="B36" s="5"/>
      <c r="C36" s="6" t="s">
        <v>30</v>
      </c>
      <c r="D36" s="4" t="s">
        <v>25</v>
      </c>
      <c r="F36" s="9"/>
      <c r="G36" s="9"/>
      <c r="H36" s="12">
        <f>H35*$P$57</f>
        <v>-16</v>
      </c>
      <c r="I36" s="12">
        <f t="shared" ref="I36:P36" si="1">I35*$P$57</f>
        <v>-8</v>
      </c>
      <c r="J36" s="12">
        <f t="shared" si="1"/>
        <v>-4</v>
      </c>
      <c r="K36" s="12">
        <f t="shared" si="1"/>
        <v>-2</v>
      </c>
      <c r="L36" s="12">
        <f t="shared" si="1"/>
        <v>0</v>
      </c>
      <c r="M36" s="12">
        <f t="shared" si="1"/>
        <v>2</v>
      </c>
      <c r="N36" s="12">
        <f t="shared" si="1"/>
        <v>4</v>
      </c>
      <c r="O36" s="12">
        <f t="shared" si="1"/>
        <v>8</v>
      </c>
      <c r="P36" s="12">
        <f t="shared" si="1"/>
        <v>16</v>
      </c>
    </row>
    <row r="37" spans="1:16" x14ac:dyDescent="0.25">
      <c r="A37" s="6" t="s">
        <v>55</v>
      </c>
      <c r="B37" s="5" t="s">
        <v>16</v>
      </c>
      <c r="C37" s="6"/>
      <c r="E37" s="4" t="s">
        <v>18</v>
      </c>
      <c r="F37" s="9"/>
      <c r="G37" s="9"/>
      <c r="H37" s="14" t="s">
        <v>7</v>
      </c>
      <c r="I37" s="13"/>
      <c r="J37" s="13"/>
      <c r="K37" s="13"/>
      <c r="L37" s="13"/>
      <c r="M37" s="12"/>
      <c r="N37" s="12"/>
      <c r="O37" s="12"/>
      <c r="P37" s="13"/>
    </row>
    <row r="38" spans="1:16" x14ac:dyDescent="0.25">
      <c r="A38" s="5"/>
      <c r="B38" s="5" t="s">
        <v>7</v>
      </c>
      <c r="C38" s="6" t="s">
        <v>11</v>
      </c>
      <c r="D38" s="4" t="s">
        <v>23</v>
      </c>
      <c r="F38" s="9"/>
      <c r="G38" s="9"/>
      <c r="H38" s="12">
        <v>500</v>
      </c>
    </row>
    <row r="39" spans="1:16" x14ac:dyDescent="0.25">
      <c r="A39" s="5"/>
      <c r="B39" s="5" t="s">
        <v>17</v>
      </c>
      <c r="C39" s="6" t="s">
        <v>29</v>
      </c>
      <c r="D39" s="4" t="s">
        <v>22</v>
      </c>
      <c r="F39" s="9"/>
      <c r="G39" s="9"/>
      <c r="H39" s="12">
        <v>-16</v>
      </c>
      <c r="I39" s="13">
        <v>-8</v>
      </c>
      <c r="J39" s="13">
        <v>-4</v>
      </c>
      <c r="K39" s="13">
        <v>-2</v>
      </c>
      <c r="L39" s="13">
        <v>0</v>
      </c>
      <c r="M39" s="12">
        <v>2</v>
      </c>
      <c r="N39" s="12">
        <v>4</v>
      </c>
      <c r="O39" s="12">
        <v>8</v>
      </c>
      <c r="P39" s="13">
        <v>16</v>
      </c>
    </row>
    <row r="40" spans="1:16" x14ac:dyDescent="0.25">
      <c r="A40" s="5"/>
      <c r="B40" s="5"/>
      <c r="C40" s="6" t="s">
        <v>30</v>
      </c>
      <c r="D40" s="4" t="s">
        <v>25</v>
      </c>
      <c r="F40" s="9"/>
      <c r="G40" s="9"/>
      <c r="H40" s="12">
        <f>H39*$P$58</f>
        <v>-16</v>
      </c>
      <c r="I40" s="12">
        <f t="shared" ref="I40:P40" si="2">I39*$P$58</f>
        <v>-8</v>
      </c>
      <c r="J40" s="12">
        <f t="shared" si="2"/>
        <v>-4</v>
      </c>
      <c r="K40" s="12">
        <f t="shared" si="2"/>
        <v>-2</v>
      </c>
      <c r="L40" s="12">
        <f t="shared" si="2"/>
        <v>0</v>
      </c>
      <c r="M40" s="12">
        <f t="shared" si="2"/>
        <v>2</v>
      </c>
      <c r="N40" s="12">
        <f t="shared" si="2"/>
        <v>4</v>
      </c>
      <c r="O40" s="12">
        <f t="shared" si="2"/>
        <v>8</v>
      </c>
      <c r="P40" s="12">
        <f t="shared" si="2"/>
        <v>16</v>
      </c>
    </row>
    <row r="41" spans="1:16" x14ac:dyDescent="0.25">
      <c r="A41" s="5" t="s">
        <v>56</v>
      </c>
      <c r="B41" s="5" t="s">
        <v>16</v>
      </c>
      <c r="C41" s="6"/>
      <c r="E41" s="4" t="s">
        <v>18</v>
      </c>
      <c r="F41" s="9"/>
      <c r="G41" s="9"/>
      <c r="H41" s="14" t="s">
        <v>7</v>
      </c>
      <c r="I41" s="13"/>
      <c r="J41" s="13"/>
      <c r="K41" s="13"/>
      <c r="L41" s="13"/>
      <c r="M41" s="12"/>
      <c r="N41" s="12"/>
      <c r="O41" s="12"/>
      <c r="P41" s="13"/>
    </row>
    <row r="42" spans="1:16" x14ac:dyDescent="0.25">
      <c r="A42" s="5"/>
      <c r="B42" s="5" t="s">
        <v>7</v>
      </c>
      <c r="C42" s="6" t="s">
        <v>8</v>
      </c>
      <c r="D42" s="4" t="s">
        <v>24</v>
      </c>
      <c r="F42" s="9"/>
      <c r="G42" s="9"/>
      <c r="H42" s="12">
        <v>50</v>
      </c>
      <c r="I42" s="13"/>
      <c r="J42" s="13"/>
      <c r="K42" s="13"/>
    </row>
    <row r="43" spans="1:16" x14ac:dyDescent="0.25">
      <c r="A43" s="5"/>
      <c r="B43" s="5" t="s">
        <v>17</v>
      </c>
      <c r="C43" s="6" t="s">
        <v>31</v>
      </c>
      <c r="D43" s="4" t="s">
        <v>26</v>
      </c>
      <c r="F43" s="9"/>
      <c r="G43" s="9"/>
      <c r="H43" s="12">
        <v>-16</v>
      </c>
      <c r="I43" s="13">
        <v>-8</v>
      </c>
      <c r="J43" s="13">
        <v>-4</v>
      </c>
      <c r="K43" s="13">
        <v>-2</v>
      </c>
      <c r="L43" s="13">
        <v>0</v>
      </c>
      <c r="M43" s="12">
        <v>2</v>
      </c>
      <c r="N43" s="12">
        <v>4</v>
      </c>
      <c r="O43" s="12">
        <v>8</v>
      </c>
      <c r="P43" s="13">
        <v>16</v>
      </c>
    </row>
    <row r="44" spans="1:16" x14ac:dyDescent="0.25">
      <c r="A44" s="5"/>
      <c r="B44" s="5"/>
      <c r="C44" s="6" t="s">
        <v>30</v>
      </c>
      <c r="D44" s="4" t="s">
        <v>25</v>
      </c>
      <c r="F44" s="9"/>
      <c r="G44" s="9"/>
      <c r="H44" s="12">
        <f>H43*$P$59</f>
        <v>-16</v>
      </c>
      <c r="I44" s="12">
        <f t="shared" ref="I44:P44" si="3">I43*$P$59</f>
        <v>-8</v>
      </c>
      <c r="J44" s="12">
        <f t="shared" si="3"/>
        <v>-4</v>
      </c>
      <c r="K44" s="12">
        <f t="shared" si="3"/>
        <v>-2</v>
      </c>
      <c r="L44" s="12">
        <f t="shared" si="3"/>
        <v>0</v>
      </c>
      <c r="M44" s="12">
        <f t="shared" si="3"/>
        <v>2</v>
      </c>
      <c r="N44" s="12">
        <f t="shared" si="3"/>
        <v>4</v>
      </c>
      <c r="O44" s="12">
        <f t="shared" si="3"/>
        <v>8</v>
      </c>
      <c r="P44" s="12">
        <f t="shared" si="3"/>
        <v>16</v>
      </c>
    </row>
    <row r="45" spans="1:16" x14ac:dyDescent="0.25">
      <c r="A45" s="6" t="s">
        <v>57</v>
      </c>
      <c r="B45" s="5" t="s">
        <v>16</v>
      </c>
      <c r="C45" s="6"/>
      <c r="E45" s="4" t="s">
        <v>18</v>
      </c>
      <c r="F45" s="9"/>
      <c r="G45" s="9"/>
      <c r="H45" s="14" t="s">
        <v>7</v>
      </c>
      <c r="I45" s="13"/>
      <c r="J45" s="13"/>
      <c r="K45" s="13"/>
      <c r="L45" s="13"/>
      <c r="M45" s="12"/>
      <c r="N45" s="12"/>
      <c r="O45" s="12"/>
      <c r="P45" s="13"/>
    </row>
    <row r="46" spans="1:16" x14ac:dyDescent="0.25">
      <c r="A46" s="5"/>
      <c r="B46" s="5" t="s">
        <v>7</v>
      </c>
      <c r="C46" s="6" t="s">
        <v>11</v>
      </c>
      <c r="D46" s="4" t="s">
        <v>23</v>
      </c>
      <c r="F46" s="9"/>
      <c r="G46" s="9"/>
      <c r="H46" s="12">
        <v>500</v>
      </c>
    </row>
    <row r="47" spans="1:16" x14ac:dyDescent="0.25">
      <c r="A47" s="5"/>
      <c r="B47" s="5" t="s">
        <v>17</v>
      </c>
      <c r="C47" s="6" t="s">
        <v>29</v>
      </c>
      <c r="D47" s="4" t="s">
        <v>22</v>
      </c>
      <c r="F47" s="9"/>
      <c r="G47" s="9"/>
      <c r="H47" s="12">
        <v>-16</v>
      </c>
      <c r="I47" s="13">
        <v>-8</v>
      </c>
      <c r="J47" s="13">
        <v>-4</v>
      </c>
      <c r="K47" s="13">
        <v>-2</v>
      </c>
      <c r="L47" s="13">
        <v>0</v>
      </c>
      <c r="M47" s="12">
        <v>2</v>
      </c>
      <c r="N47" s="12">
        <v>4</v>
      </c>
      <c r="O47" s="12">
        <v>8</v>
      </c>
      <c r="P47" s="13">
        <v>16</v>
      </c>
    </row>
    <row r="48" spans="1:16" x14ac:dyDescent="0.25">
      <c r="A48" s="5"/>
      <c r="B48" s="5"/>
      <c r="C48" s="6" t="s">
        <v>30</v>
      </c>
      <c r="D48" s="4" t="s">
        <v>25</v>
      </c>
      <c r="F48" s="9"/>
      <c r="G48" s="9"/>
      <c r="H48" s="12">
        <f>H47*$P$60</f>
        <v>-16</v>
      </c>
      <c r="I48" s="12">
        <f t="shared" ref="I48:P48" si="4">I47*$P$60</f>
        <v>-8</v>
      </c>
      <c r="J48" s="12">
        <f t="shared" si="4"/>
        <v>-4</v>
      </c>
      <c r="K48" s="12">
        <f t="shared" si="4"/>
        <v>-2</v>
      </c>
      <c r="L48" s="12">
        <f t="shared" si="4"/>
        <v>0</v>
      </c>
      <c r="M48" s="12">
        <f t="shared" si="4"/>
        <v>2</v>
      </c>
      <c r="N48" s="12">
        <f t="shared" si="4"/>
        <v>4</v>
      </c>
      <c r="O48" s="12">
        <f t="shared" si="4"/>
        <v>8</v>
      </c>
      <c r="P48" s="12">
        <f t="shared" si="4"/>
        <v>16</v>
      </c>
    </row>
    <row r="49" spans="1:16" x14ac:dyDescent="0.25">
      <c r="A49" s="5" t="s">
        <v>58</v>
      </c>
      <c r="B49" s="5" t="s">
        <v>16</v>
      </c>
      <c r="C49" s="6"/>
      <c r="E49" s="4" t="s">
        <v>18</v>
      </c>
      <c r="F49" s="9"/>
      <c r="G49" s="9"/>
      <c r="H49" s="14" t="s">
        <v>7</v>
      </c>
      <c r="I49" s="13"/>
      <c r="J49" s="13"/>
      <c r="K49" s="13"/>
      <c r="L49" s="13"/>
      <c r="M49" s="12"/>
      <c r="N49" s="12"/>
      <c r="O49" s="12"/>
      <c r="P49" s="13"/>
    </row>
    <row r="50" spans="1:16" x14ac:dyDescent="0.25">
      <c r="A50" s="5"/>
      <c r="B50" s="5" t="s">
        <v>7</v>
      </c>
      <c r="C50" s="6" t="s">
        <v>8</v>
      </c>
      <c r="D50" s="4" t="s">
        <v>24</v>
      </c>
      <c r="F50" s="9"/>
      <c r="G50" s="9"/>
      <c r="H50" s="12">
        <v>50</v>
      </c>
      <c r="I50" s="13"/>
      <c r="J50" s="13"/>
      <c r="K50" s="13"/>
    </row>
    <row r="51" spans="1:16" x14ac:dyDescent="0.25">
      <c r="A51" s="5"/>
      <c r="B51" s="5" t="s">
        <v>17</v>
      </c>
      <c r="C51" s="6" t="s">
        <v>31</v>
      </c>
      <c r="D51" s="4" t="s">
        <v>26</v>
      </c>
      <c r="F51" s="9"/>
      <c r="G51" s="9"/>
      <c r="H51" s="12">
        <v>-16</v>
      </c>
      <c r="I51" s="13">
        <v>-8</v>
      </c>
      <c r="J51" s="13">
        <v>-4</v>
      </c>
      <c r="K51" s="13">
        <v>-2</v>
      </c>
      <c r="L51" s="13">
        <v>0</v>
      </c>
      <c r="M51" s="12">
        <v>2</v>
      </c>
      <c r="N51" s="12">
        <v>4</v>
      </c>
      <c r="O51" s="12">
        <v>8</v>
      </c>
      <c r="P51" s="13">
        <v>16</v>
      </c>
    </row>
    <row r="52" spans="1:16" x14ac:dyDescent="0.25">
      <c r="A52" s="19"/>
      <c r="B52" s="19"/>
      <c r="C52" s="20" t="s">
        <v>30</v>
      </c>
      <c r="D52" s="21" t="s">
        <v>25</v>
      </c>
      <c r="E52" s="21"/>
      <c r="F52" s="22"/>
      <c r="G52" s="22"/>
      <c r="H52" s="23">
        <f>H51*$P$61</f>
        <v>-16</v>
      </c>
      <c r="I52" s="23">
        <f t="shared" ref="I52:P52" si="5">I51*$P$61</f>
        <v>-8</v>
      </c>
      <c r="J52" s="23">
        <f t="shared" si="5"/>
        <v>-4</v>
      </c>
      <c r="K52" s="23">
        <f t="shared" si="5"/>
        <v>-2</v>
      </c>
      <c r="L52" s="23">
        <f t="shared" si="5"/>
        <v>0</v>
      </c>
      <c r="M52" s="23">
        <f t="shared" si="5"/>
        <v>2</v>
      </c>
      <c r="N52" s="23">
        <f t="shared" si="5"/>
        <v>4</v>
      </c>
      <c r="O52" s="23">
        <f t="shared" si="5"/>
        <v>8</v>
      </c>
      <c r="P52" s="23">
        <f t="shared" si="5"/>
        <v>16</v>
      </c>
    </row>
    <row r="55" spans="1:16" x14ac:dyDescent="0.25">
      <c r="O55" s="25" t="s">
        <v>27</v>
      </c>
      <c r="P55" s="4" t="s">
        <v>28</v>
      </c>
    </row>
    <row r="56" spans="1:16" x14ac:dyDescent="0.25">
      <c r="N56" s="4" t="s">
        <v>32</v>
      </c>
      <c r="O56" s="4">
        <v>1000</v>
      </c>
      <c r="P56" s="4">
        <v>1</v>
      </c>
    </row>
    <row r="57" spans="1:16" x14ac:dyDescent="0.25">
      <c r="N57" s="4" t="s">
        <v>33</v>
      </c>
      <c r="O57" s="4">
        <v>1000</v>
      </c>
      <c r="P57" s="4">
        <v>1</v>
      </c>
    </row>
    <row r="58" spans="1:16" x14ac:dyDescent="0.25">
      <c r="N58" s="4" t="s">
        <v>34</v>
      </c>
      <c r="O58" s="4">
        <v>1000</v>
      </c>
      <c r="P58" s="4">
        <v>1</v>
      </c>
    </row>
    <row r="59" spans="1:16" x14ac:dyDescent="0.25">
      <c r="N59" s="4" t="s">
        <v>35</v>
      </c>
      <c r="O59" s="4">
        <v>1000</v>
      </c>
      <c r="P59" s="4">
        <v>1</v>
      </c>
    </row>
    <row r="60" spans="1:16" x14ac:dyDescent="0.25">
      <c r="N60" s="4" t="s">
        <v>36</v>
      </c>
      <c r="O60" s="4">
        <v>1000</v>
      </c>
      <c r="P60" s="4">
        <v>1</v>
      </c>
    </row>
    <row r="61" spans="1:16" x14ac:dyDescent="0.25">
      <c r="N61" s="4" t="s">
        <v>37</v>
      </c>
      <c r="O61" s="21">
        <v>1000</v>
      </c>
      <c r="P61" s="21">
        <v>1</v>
      </c>
    </row>
    <row r="62" spans="1:16" x14ac:dyDescent="0.25">
      <c r="N62" s="4" t="s">
        <v>38</v>
      </c>
      <c r="O62" s="26">
        <v>1000</v>
      </c>
      <c r="P62" s="26">
        <v>1</v>
      </c>
    </row>
    <row r="63" spans="1:16" x14ac:dyDescent="0.25">
      <c r="N63" s="4" t="s">
        <v>39</v>
      </c>
      <c r="O63" s="4">
        <v>1000</v>
      </c>
      <c r="P63" s="4">
        <v>1</v>
      </c>
    </row>
    <row r="64" spans="1:16" x14ac:dyDescent="0.25">
      <c r="N64" s="4" t="s">
        <v>40</v>
      </c>
      <c r="O64" s="4">
        <v>1000</v>
      </c>
      <c r="P64" s="4">
        <v>1</v>
      </c>
    </row>
    <row r="65" spans="14:16" x14ac:dyDescent="0.25">
      <c r="N65" s="4" t="s">
        <v>41</v>
      </c>
      <c r="O65" s="4">
        <v>1000</v>
      </c>
      <c r="P65" s="4">
        <v>1</v>
      </c>
    </row>
    <row r="66" spans="14:16" x14ac:dyDescent="0.25">
      <c r="N66" s="4" t="s">
        <v>42</v>
      </c>
      <c r="O66" s="4">
        <v>1000</v>
      </c>
      <c r="P66" s="4">
        <v>1</v>
      </c>
    </row>
    <row r="67" spans="14:16" x14ac:dyDescent="0.25">
      <c r="N67" s="4" t="s">
        <v>43</v>
      </c>
      <c r="O67" s="21">
        <v>1000</v>
      </c>
      <c r="P67" s="21">
        <v>1</v>
      </c>
    </row>
  </sheetData>
  <conditionalFormatting sqref="B6:C8 B10:C28 A19 A27 B30:C32 B34:C52 A43 A51">
    <cfRule type="cellIs" dxfId="2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355C-757F-44E3-81E3-089BF5E3CA79}">
  <sheetPr>
    <tabColor theme="9" tint="0.59999389629810485"/>
  </sheetPr>
  <dimension ref="A1:P115"/>
  <sheetViews>
    <sheetView workbookViewId="0">
      <selection activeCell="G63" sqref="G6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5.42578125" style="4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46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21</v>
      </c>
    </row>
    <row r="4" spans="1:16" x14ac:dyDescent="0.25">
      <c r="A4" s="5" t="s">
        <v>6</v>
      </c>
      <c r="B4" s="6"/>
      <c r="C4" s="6"/>
      <c r="F4" s="7"/>
      <c r="G4" s="7"/>
      <c r="H4" s="8" t="s">
        <v>45</v>
      </c>
    </row>
    <row r="5" spans="1:16" x14ac:dyDescent="0.25">
      <c r="A5" s="5" t="s">
        <v>47</v>
      </c>
      <c r="B5" s="6" t="s">
        <v>16</v>
      </c>
      <c r="C5" s="6"/>
      <c r="E5" s="4" t="s">
        <v>18</v>
      </c>
      <c r="H5" s="14" t="s">
        <v>7</v>
      </c>
    </row>
    <row r="6" spans="1:16" x14ac:dyDescent="0.25">
      <c r="A6" s="5"/>
      <c r="B6" s="5" t="s">
        <v>7</v>
      </c>
      <c r="C6" s="6" t="s">
        <v>11</v>
      </c>
      <c r="D6" s="4" t="s">
        <v>20</v>
      </c>
      <c r="F6" s="9"/>
      <c r="G6" s="9"/>
      <c r="H6" s="10">
        <v>2000</v>
      </c>
    </row>
    <row r="7" spans="1:16" x14ac:dyDescent="0.25">
      <c r="A7" s="5"/>
      <c r="B7" s="5" t="s">
        <v>17</v>
      </c>
      <c r="C7" s="6" t="s">
        <v>2</v>
      </c>
      <c r="D7" s="4" t="s">
        <v>10</v>
      </c>
      <c r="F7" s="9"/>
      <c r="G7" s="9"/>
      <c r="H7" s="12">
        <v>-4</v>
      </c>
      <c r="I7" s="13">
        <v>-3</v>
      </c>
      <c r="J7" s="13">
        <v>-2</v>
      </c>
      <c r="K7" s="13">
        <v>-1</v>
      </c>
      <c r="L7" s="13">
        <v>0</v>
      </c>
      <c r="M7" s="12">
        <v>1</v>
      </c>
      <c r="N7" s="12">
        <v>2</v>
      </c>
      <c r="O7" s="12">
        <v>3</v>
      </c>
      <c r="P7" s="13">
        <v>4</v>
      </c>
    </row>
    <row r="8" spans="1:16" x14ac:dyDescent="0.25">
      <c r="A8" s="5"/>
      <c r="B8" s="5"/>
      <c r="C8" s="6" t="s">
        <v>12</v>
      </c>
      <c r="D8" s="4" t="s">
        <v>13</v>
      </c>
      <c r="F8" s="9"/>
      <c r="G8" s="9"/>
      <c r="H8" s="12">
        <f>-4*O56</f>
        <v>-4000</v>
      </c>
      <c r="I8" s="13">
        <f>-2.75*O56</f>
        <v>-2750</v>
      </c>
      <c r="J8" s="13">
        <f>-1.5*O56</f>
        <v>-1500</v>
      </c>
      <c r="K8" s="13">
        <f>-0.5*O56</f>
        <v>-500</v>
      </c>
      <c r="L8" s="13">
        <f>0*O56</f>
        <v>0</v>
      </c>
      <c r="M8" s="12">
        <f>0.5*O56</f>
        <v>500</v>
      </c>
      <c r="N8" s="12">
        <f>1.5*O56</f>
        <v>1500</v>
      </c>
      <c r="O8" s="12">
        <f>2.75*O56</f>
        <v>2750</v>
      </c>
      <c r="P8" s="13">
        <f>4*O56</f>
        <v>4000</v>
      </c>
    </row>
    <row r="9" spans="1:16" x14ac:dyDescent="0.25">
      <c r="A9" s="5" t="s">
        <v>48</v>
      </c>
      <c r="B9" s="6" t="s">
        <v>16</v>
      </c>
      <c r="C9" s="6"/>
      <c r="E9" s="4" t="s">
        <v>18</v>
      </c>
      <c r="H9" s="14" t="s">
        <v>7</v>
      </c>
      <c r="I9" s="13"/>
      <c r="J9" s="13"/>
      <c r="K9" s="13"/>
    </row>
    <row r="10" spans="1:16" x14ac:dyDescent="0.25">
      <c r="A10" s="5"/>
      <c r="B10" s="5" t="s">
        <v>7</v>
      </c>
      <c r="C10" s="6" t="s">
        <v>8</v>
      </c>
      <c r="D10" s="4" t="s">
        <v>9</v>
      </c>
      <c r="F10" s="9"/>
      <c r="G10" s="9"/>
      <c r="H10" s="10">
        <v>2000</v>
      </c>
      <c r="I10" s="13"/>
      <c r="J10" s="13"/>
      <c r="K10" s="13"/>
    </row>
    <row r="11" spans="1:16" x14ac:dyDescent="0.25">
      <c r="A11" s="5"/>
      <c r="B11" s="5" t="s">
        <v>17</v>
      </c>
      <c r="C11" s="6" t="s">
        <v>14</v>
      </c>
      <c r="D11" s="4" t="s">
        <v>15</v>
      </c>
      <c r="F11" s="9"/>
      <c r="G11" s="9"/>
      <c r="H11" s="12">
        <v>-4</v>
      </c>
      <c r="I11" s="13">
        <v>-3</v>
      </c>
      <c r="J11" s="13">
        <v>-2</v>
      </c>
      <c r="K11" s="13">
        <v>-1</v>
      </c>
      <c r="L11" s="13">
        <v>0</v>
      </c>
      <c r="M11" s="12">
        <v>1</v>
      </c>
      <c r="N11" s="12">
        <v>2</v>
      </c>
      <c r="O11" s="12">
        <v>3</v>
      </c>
      <c r="P11" s="13">
        <v>4</v>
      </c>
    </row>
    <row r="12" spans="1:16" x14ac:dyDescent="0.25">
      <c r="A12" s="6"/>
      <c r="B12" s="5"/>
      <c r="C12" s="6" t="s">
        <v>12</v>
      </c>
      <c r="D12" s="4" t="s">
        <v>13</v>
      </c>
      <c r="F12" s="9"/>
      <c r="G12" s="9"/>
      <c r="H12" s="12">
        <f>-4*O57</f>
        <v>-4000</v>
      </c>
      <c r="I12" s="13">
        <f>-2.75*O57</f>
        <v>-2750</v>
      </c>
      <c r="J12" s="13">
        <f>-1.5*O57</f>
        <v>-1500</v>
      </c>
      <c r="K12" s="13">
        <f>-0.5*O57</f>
        <v>-500</v>
      </c>
      <c r="L12" s="13">
        <f>0*O57</f>
        <v>0</v>
      </c>
      <c r="M12" s="12">
        <f>0.5*O57</f>
        <v>500</v>
      </c>
      <c r="N12" s="12">
        <f>1.5*O57</f>
        <v>1500</v>
      </c>
      <c r="O12" s="12">
        <f>2.75*O57</f>
        <v>2750</v>
      </c>
      <c r="P12" s="13">
        <f>4*O57</f>
        <v>4000</v>
      </c>
    </row>
    <row r="13" spans="1:16" x14ac:dyDescent="0.25">
      <c r="A13" s="6" t="s">
        <v>49</v>
      </c>
      <c r="B13" s="5" t="s">
        <v>16</v>
      </c>
      <c r="C13" s="6"/>
      <c r="E13" s="4" t="s">
        <v>18</v>
      </c>
      <c r="F13" s="9"/>
      <c r="G13" s="9"/>
      <c r="H13" s="14" t="s">
        <v>7</v>
      </c>
      <c r="I13" s="13"/>
      <c r="J13" s="13"/>
      <c r="K13" s="13"/>
      <c r="L13" s="13"/>
      <c r="M13" s="12"/>
      <c r="N13" s="12"/>
      <c r="O13" s="12"/>
      <c r="P13" s="13"/>
    </row>
    <row r="14" spans="1:16" x14ac:dyDescent="0.25">
      <c r="A14" s="5"/>
      <c r="B14" s="5" t="s">
        <v>7</v>
      </c>
      <c r="C14" s="6" t="s">
        <v>11</v>
      </c>
      <c r="D14" s="4" t="s">
        <v>20</v>
      </c>
      <c r="F14" s="9"/>
      <c r="G14" s="9"/>
      <c r="H14" s="10">
        <v>2000</v>
      </c>
    </row>
    <row r="15" spans="1:16" x14ac:dyDescent="0.25">
      <c r="A15" s="5"/>
      <c r="B15" s="5" t="s">
        <v>17</v>
      </c>
      <c r="C15" s="6" t="s">
        <v>2</v>
      </c>
      <c r="D15" s="4" t="s">
        <v>10</v>
      </c>
      <c r="F15" s="9"/>
      <c r="G15" s="9"/>
      <c r="H15" s="12">
        <v>-4</v>
      </c>
      <c r="I15" s="13">
        <v>-3</v>
      </c>
      <c r="J15" s="13">
        <v>-2</v>
      </c>
      <c r="K15" s="13">
        <v>-1</v>
      </c>
      <c r="L15" s="13">
        <v>0</v>
      </c>
      <c r="M15" s="12">
        <v>1</v>
      </c>
      <c r="N15" s="12">
        <v>2</v>
      </c>
      <c r="O15" s="12">
        <v>3</v>
      </c>
      <c r="P15" s="13">
        <v>4</v>
      </c>
    </row>
    <row r="16" spans="1:16" x14ac:dyDescent="0.25">
      <c r="A16" s="5"/>
      <c r="B16" s="5"/>
      <c r="C16" s="6" t="s">
        <v>12</v>
      </c>
      <c r="D16" s="4" t="s">
        <v>13</v>
      </c>
      <c r="F16" s="9"/>
      <c r="G16" s="9"/>
      <c r="H16" s="12">
        <f>-4*O58</f>
        <v>-4000</v>
      </c>
      <c r="I16" s="13">
        <f>-2.75*O58</f>
        <v>-2750</v>
      </c>
      <c r="J16" s="13">
        <f>-1.5*O58</f>
        <v>-1500</v>
      </c>
      <c r="K16" s="13">
        <f>-0.5*O58</f>
        <v>-500</v>
      </c>
      <c r="L16" s="13">
        <f>0*O58</f>
        <v>0</v>
      </c>
      <c r="M16" s="12">
        <f>0.5*O58</f>
        <v>500</v>
      </c>
      <c r="N16" s="12">
        <f>1.5*O58</f>
        <v>1500</v>
      </c>
      <c r="O16" s="12">
        <f>2.75*O58</f>
        <v>2750</v>
      </c>
      <c r="P16" s="13">
        <f>4*O58</f>
        <v>4000</v>
      </c>
    </row>
    <row r="17" spans="1:16" x14ac:dyDescent="0.25">
      <c r="A17" s="5" t="s">
        <v>50</v>
      </c>
      <c r="B17" s="5" t="s">
        <v>16</v>
      </c>
      <c r="C17" s="6"/>
      <c r="E17" s="4" t="s">
        <v>18</v>
      </c>
      <c r="F17" s="9"/>
      <c r="G17" s="9"/>
      <c r="H17" s="14" t="s">
        <v>7</v>
      </c>
      <c r="I17" s="13"/>
      <c r="J17" s="13"/>
      <c r="K17" s="13"/>
      <c r="L17" s="13"/>
      <c r="M17" s="12"/>
      <c r="N17" s="12"/>
      <c r="O17" s="12"/>
      <c r="P17" s="13"/>
    </row>
    <row r="18" spans="1:16" x14ac:dyDescent="0.25">
      <c r="A18" s="5"/>
      <c r="B18" s="5" t="s">
        <v>7</v>
      </c>
      <c r="C18" s="6" t="s">
        <v>8</v>
      </c>
      <c r="D18" s="4" t="s">
        <v>9</v>
      </c>
      <c r="F18" s="9"/>
      <c r="G18" s="9"/>
      <c r="H18" s="10">
        <v>2000</v>
      </c>
      <c r="I18" s="13"/>
      <c r="J18" s="13"/>
      <c r="K18" s="13"/>
    </row>
    <row r="19" spans="1:16" x14ac:dyDescent="0.25">
      <c r="A19" s="5"/>
      <c r="B19" s="5" t="s">
        <v>17</v>
      </c>
      <c r="C19" s="6" t="s">
        <v>14</v>
      </c>
      <c r="D19" s="4" t="s">
        <v>15</v>
      </c>
      <c r="F19" s="9"/>
      <c r="G19" s="9"/>
      <c r="H19" s="12">
        <v>-4</v>
      </c>
      <c r="I19" s="13">
        <v>-3</v>
      </c>
      <c r="J19" s="13">
        <v>-2</v>
      </c>
      <c r="K19" s="13">
        <v>-1</v>
      </c>
      <c r="L19" s="13">
        <v>0</v>
      </c>
      <c r="M19" s="12">
        <v>1</v>
      </c>
      <c r="N19" s="12">
        <v>2</v>
      </c>
      <c r="O19" s="12">
        <v>3</v>
      </c>
      <c r="P19" s="13">
        <v>4</v>
      </c>
    </row>
    <row r="20" spans="1:16" x14ac:dyDescent="0.25">
      <c r="A20" s="5"/>
      <c r="B20" s="5"/>
      <c r="C20" s="6" t="s">
        <v>12</v>
      </c>
      <c r="D20" s="4" t="s">
        <v>13</v>
      </c>
      <c r="F20" s="9"/>
      <c r="G20" s="9"/>
      <c r="H20" s="12">
        <f>-4*O59</f>
        <v>-4000</v>
      </c>
      <c r="I20" s="13">
        <f>-2.75*O59</f>
        <v>-2750</v>
      </c>
      <c r="J20" s="13">
        <f>-1.5*O59</f>
        <v>-1500</v>
      </c>
      <c r="K20" s="13">
        <f>-0.5*O59</f>
        <v>-500</v>
      </c>
      <c r="L20" s="13">
        <f>0*O59</f>
        <v>0</v>
      </c>
      <c r="M20" s="12">
        <f>0.5*O59</f>
        <v>500</v>
      </c>
      <c r="N20" s="12">
        <f>1.5*O59</f>
        <v>1500</v>
      </c>
      <c r="O20" s="12">
        <f>2.75*O59</f>
        <v>2750</v>
      </c>
      <c r="P20" s="13">
        <f>4*O59</f>
        <v>4000</v>
      </c>
    </row>
    <row r="21" spans="1:16" x14ac:dyDescent="0.25">
      <c r="A21" s="6" t="s">
        <v>51</v>
      </c>
      <c r="B21" s="5" t="s">
        <v>16</v>
      </c>
      <c r="C21" s="6"/>
      <c r="E21" s="4" t="s">
        <v>18</v>
      </c>
      <c r="F21" s="9"/>
      <c r="G21" s="9"/>
      <c r="H21" s="14" t="s">
        <v>7</v>
      </c>
      <c r="I21" s="13"/>
      <c r="J21" s="13"/>
      <c r="K21" s="13"/>
      <c r="L21" s="13"/>
      <c r="M21" s="12"/>
      <c r="N21" s="12"/>
      <c r="O21" s="12"/>
      <c r="P21" s="13"/>
    </row>
    <row r="22" spans="1:16" x14ac:dyDescent="0.25">
      <c r="A22" s="5"/>
      <c r="B22" s="5" t="s">
        <v>7</v>
      </c>
      <c r="C22" s="6" t="s">
        <v>11</v>
      </c>
      <c r="D22" s="4" t="s">
        <v>20</v>
      </c>
      <c r="F22" s="9"/>
      <c r="G22" s="9"/>
      <c r="H22" s="10">
        <v>2000</v>
      </c>
    </row>
    <row r="23" spans="1:16" x14ac:dyDescent="0.25">
      <c r="A23" s="5"/>
      <c r="B23" s="5" t="s">
        <v>17</v>
      </c>
      <c r="C23" s="6" t="s">
        <v>2</v>
      </c>
      <c r="D23" s="4" t="s">
        <v>10</v>
      </c>
      <c r="F23" s="9"/>
      <c r="G23" s="9"/>
      <c r="H23" s="12">
        <v>-4</v>
      </c>
      <c r="I23" s="13">
        <v>-3</v>
      </c>
      <c r="J23" s="13">
        <v>-2</v>
      </c>
      <c r="K23" s="13">
        <v>-1</v>
      </c>
      <c r="L23" s="13">
        <v>0</v>
      </c>
      <c r="M23" s="12">
        <v>1</v>
      </c>
      <c r="N23" s="12">
        <v>2</v>
      </c>
      <c r="O23" s="12">
        <v>3</v>
      </c>
      <c r="P23" s="13">
        <v>4</v>
      </c>
    </row>
    <row r="24" spans="1:16" x14ac:dyDescent="0.25">
      <c r="A24" s="5"/>
      <c r="B24" s="5"/>
      <c r="C24" s="6" t="s">
        <v>12</v>
      </c>
      <c r="D24" s="4" t="s">
        <v>13</v>
      </c>
      <c r="F24" s="9"/>
      <c r="G24" s="9"/>
      <c r="H24" s="12">
        <f>-4*O60</f>
        <v>-4000</v>
      </c>
      <c r="I24" s="13">
        <f>-2.75*O60</f>
        <v>-2750</v>
      </c>
      <c r="J24" s="13">
        <f>-1.5*O60</f>
        <v>-1500</v>
      </c>
      <c r="K24" s="13">
        <f>-0.5*O60</f>
        <v>-500</v>
      </c>
      <c r="L24" s="13">
        <f>0*O60</f>
        <v>0</v>
      </c>
      <c r="M24" s="12">
        <f>0.5*O60</f>
        <v>500</v>
      </c>
      <c r="N24" s="12">
        <f>1.5*O60</f>
        <v>1500</v>
      </c>
      <c r="O24" s="12">
        <f>2.75*O60</f>
        <v>2750</v>
      </c>
      <c r="P24" s="13">
        <f>4*O60</f>
        <v>4000</v>
      </c>
    </row>
    <row r="25" spans="1:16" x14ac:dyDescent="0.25">
      <c r="A25" s="5" t="s">
        <v>52</v>
      </c>
      <c r="B25" s="5" t="s">
        <v>16</v>
      </c>
      <c r="C25" s="6"/>
      <c r="E25" s="4" t="s">
        <v>18</v>
      </c>
      <c r="F25" s="9"/>
      <c r="G25" s="9"/>
      <c r="H25" s="14" t="s">
        <v>7</v>
      </c>
      <c r="I25" s="13"/>
      <c r="J25" s="13"/>
      <c r="K25" s="13"/>
      <c r="L25" s="13"/>
      <c r="M25" s="12"/>
      <c r="N25" s="12"/>
      <c r="O25" s="12"/>
      <c r="P25" s="13"/>
    </row>
    <row r="26" spans="1:16" x14ac:dyDescent="0.25">
      <c r="A26" s="5"/>
      <c r="B26" s="5" t="s">
        <v>7</v>
      </c>
      <c r="C26" s="6" t="s">
        <v>8</v>
      </c>
      <c r="D26" s="4" t="s">
        <v>9</v>
      </c>
      <c r="F26" s="9"/>
      <c r="G26" s="9"/>
      <c r="H26" s="10">
        <v>2000</v>
      </c>
      <c r="I26" s="13"/>
      <c r="J26" s="13"/>
      <c r="K26" s="13"/>
    </row>
    <row r="27" spans="1:16" x14ac:dyDescent="0.25">
      <c r="A27" s="5"/>
      <c r="B27" s="5" t="s">
        <v>17</v>
      </c>
      <c r="C27" s="6" t="s">
        <v>14</v>
      </c>
      <c r="D27" s="4" t="s">
        <v>15</v>
      </c>
      <c r="F27" s="9"/>
      <c r="G27" s="9"/>
      <c r="H27" s="12">
        <v>-4</v>
      </c>
      <c r="I27" s="13">
        <v>-3</v>
      </c>
      <c r="J27" s="13">
        <v>-2</v>
      </c>
      <c r="K27" s="13">
        <v>-1</v>
      </c>
      <c r="L27" s="13">
        <v>0</v>
      </c>
      <c r="M27" s="12">
        <v>1</v>
      </c>
      <c r="N27" s="12">
        <v>2</v>
      </c>
      <c r="O27" s="12">
        <v>3</v>
      </c>
      <c r="P27" s="13">
        <v>4</v>
      </c>
    </row>
    <row r="28" spans="1:16" x14ac:dyDescent="0.25">
      <c r="A28" s="19"/>
      <c r="B28" s="19"/>
      <c r="C28" s="20" t="s">
        <v>12</v>
      </c>
      <c r="D28" s="21" t="s">
        <v>13</v>
      </c>
      <c r="E28" s="21"/>
      <c r="F28" s="22"/>
      <c r="G28" s="22"/>
      <c r="H28" s="23">
        <f>-4*O61</f>
        <v>-4000</v>
      </c>
      <c r="I28" s="24">
        <f>-2.75*O61</f>
        <v>-2750</v>
      </c>
      <c r="J28" s="24">
        <f>-1.5*O61</f>
        <v>-1500</v>
      </c>
      <c r="K28" s="24">
        <f>-0.5*O61</f>
        <v>-500</v>
      </c>
      <c r="L28" s="24">
        <f>0*O61</f>
        <v>0</v>
      </c>
      <c r="M28" s="23">
        <f>0.5*O61</f>
        <v>500</v>
      </c>
      <c r="N28" s="23">
        <f>1.5*O61</f>
        <v>1500</v>
      </c>
      <c r="O28" s="23">
        <f>2.75*O61</f>
        <v>2750</v>
      </c>
      <c r="P28" s="24">
        <f>4*O61</f>
        <v>4000</v>
      </c>
    </row>
    <row r="29" spans="1:16" x14ac:dyDescent="0.25">
      <c r="A29" s="5" t="s">
        <v>53</v>
      </c>
      <c r="B29" s="6" t="s">
        <v>16</v>
      </c>
      <c r="C29" s="6"/>
      <c r="E29" s="4" t="s">
        <v>18</v>
      </c>
      <c r="H29" s="14" t="s">
        <v>7</v>
      </c>
    </row>
    <row r="30" spans="1:16" x14ac:dyDescent="0.25">
      <c r="A30" s="5"/>
      <c r="B30" s="5" t="s">
        <v>7</v>
      </c>
      <c r="C30" s="6" t="s">
        <v>11</v>
      </c>
      <c r="D30" s="4" t="s">
        <v>23</v>
      </c>
      <c r="F30" s="9"/>
      <c r="G30" s="9"/>
      <c r="H30" s="12">
        <v>500</v>
      </c>
    </row>
    <row r="31" spans="1:16" x14ac:dyDescent="0.25">
      <c r="A31" s="5"/>
      <c r="B31" s="5" t="s">
        <v>17</v>
      </c>
      <c r="C31" s="6" t="s">
        <v>29</v>
      </c>
      <c r="D31" s="4" t="s">
        <v>22</v>
      </c>
      <c r="F31" s="9"/>
      <c r="G31" s="9"/>
      <c r="H31" s="12">
        <v>-16</v>
      </c>
      <c r="I31" s="13">
        <v>-8</v>
      </c>
      <c r="J31" s="13">
        <v>-4</v>
      </c>
      <c r="K31" s="13">
        <v>-2</v>
      </c>
      <c r="L31" s="13">
        <v>0</v>
      </c>
      <c r="M31" s="12">
        <v>2</v>
      </c>
      <c r="N31" s="12">
        <v>4</v>
      </c>
      <c r="O31" s="12">
        <v>8</v>
      </c>
      <c r="P31" s="13">
        <v>16</v>
      </c>
    </row>
    <row r="32" spans="1:16" x14ac:dyDescent="0.25">
      <c r="A32" s="5"/>
      <c r="B32" s="5"/>
      <c r="C32" s="6" t="s">
        <v>30</v>
      </c>
      <c r="D32" s="4" t="s">
        <v>25</v>
      </c>
      <c r="F32" s="9"/>
      <c r="G32" s="9"/>
      <c r="H32" s="12">
        <f>H31*$P$56</f>
        <v>-16</v>
      </c>
      <c r="I32" s="12">
        <f t="shared" ref="I32:P32" si="0">I31*$P$56</f>
        <v>-8</v>
      </c>
      <c r="J32" s="12">
        <f t="shared" si="0"/>
        <v>-4</v>
      </c>
      <c r="K32" s="12">
        <f t="shared" si="0"/>
        <v>-2</v>
      </c>
      <c r="L32" s="12">
        <f t="shared" si="0"/>
        <v>0</v>
      </c>
      <c r="M32" s="12">
        <f t="shared" si="0"/>
        <v>2</v>
      </c>
      <c r="N32" s="12">
        <f t="shared" si="0"/>
        <v>4</v>
      </c>
      <c r="O32" s="12">
        <f t="shared" si="0"/>
        <v>8</v>
      </c>
      <c r="P32" s="12">
        <f t="shared" si="0"/>
        <v>16</v>
      </c>
    </row>
    <row r="33" spans="1:16" x14ac:dyDescent="0.25">
      <c r="A33" s="5" t="s">
        <v>54</v>
      </c>
      <c r="B33" s="6" t="s">
        <v>16</v>
      </c>
      <c r="C33" s="6"/>
      <c r="E33" s="4" t="s">
        <v>18</v>
      </c>
      <c r="H33" s="14" t="s">
        <v>7</v>
      </c>
      <c r="I33" s="13"/>
      <c r="J33" s="13"/>
      <c r="K33" s="13"/>
    </row>
    <row r="34" spans="1:16" x14ac:dyDescent="0.25">
      <c r="A34" s="5"/>
      <c r="B34" s="5" t="s">
        <v>7</v>
      </c>
      <c r="C34" s="6" t="s">
        <v>8</v>
      </c>
      <c r="D34" s="4" t="s">
        <v>24</v>
      </c>
      <c r="F34" s="9"/>
      <c r="G34" s="9"/>
      <c r="H34" s="12">
        <v>50</v>
      </c>
      <c r="I34" s="13"/>
      <c r="J34" s="13"/>
      <c r="K34" s="13"/>
    </row>
    <row r="35" spans="1:16" x14ac:dyDescent="0.25">
      <c r="A35" s="5"/>
      <c r="B35" s="5" t="s">
        <v>17</v>
      </c>
      <c r="C35" s="6" t="s">
        <v>31</v>
      </c>
      <c r="D35" s="4" t="s">
        <v>26</v>
      </c>
      <c r="F35" s="9"/>
      <c r="G35" s="9"/>
      <c r="H35" s="12">
        <v>-16</v>
      </c>
      <c r="I35" s="13">
        <v>-8</v>
      </c>
      <c r="J35" s="13">
        <v>-4</v>
      </c>
      <c r="K35" s="13">
        <v>-2</v>
      </c>
      <c r="L35" s="13">
        <v>0</v>
      </c>
      <c r="M35" s="12">
        <v>2</v>
      </c>
      <c r="N35" s="12">
        <v>4</v>
      </c>
      <c r="O35" s="12">
        <v>8</v>
      </c>
      <c r="P35" s="13">
        <v>16</v>
      </c>
    </row>
    <row r="36" spans="1:16" x14ac:dyDescent="0.25">
      <c r="A36" s="6"/>
      <c r="B36" s="5"/>
      <c r="C36" s="6" t="s">
        <v>30</v>
      </c>
      <c r="D36" s="4" t="s">
        <v>25</v>
      </c>
      <c r="F36" s="9"/>
      <c r="G36" s="9"/>
      <c r="H36" s="12">
        <f>H35*$P$57</f>
        <v>-16</v>
      </c>
      <c r="I36" s="12">
        <f t="shared" ref="I36:P36" si="1">I35*$P$57</f>
        <v>-8</v>
      </c>
      <c r="J36" s="12">
        <f t="shared" si="1"/>
        <v>-4</v>
      </c>
      <c r="K36" s="12">
        <f t="shared" si="1"/>
        <v>-2</v>
      </c>
      <c r="L36" s="12">
        <f t="shared" si="1"/>
        <v>0</v>
      </c>
      <c r="M36" s="12">
        <f t="shared" si="1"/>
        <v>2</v>
      </c>
      <c r="N36" s="12">
        <f t="shared" si="1"/>
        <v>4</v>
      </c>
      <c r="O36" s="12">
        <f t="shared" si="1"/>
        <v>8</v>
      </c>
      <c r="P36" s="12">
        <f t="shared" si="1"/>
        <v>16</v>
      </c>
    </row>
    <row r="37" spans="1:16" x14ac:dyDescent="0.25">
      <c r="A37" s="6" t="s">
        <v>55</v>
      </c>
      <c r="B37" s="5" t="s">
        <v>16</v>
      </c>
      <c r="C37" s="6"/>
      <c r="E37" s="4" t="s">
        <v>18</v>
      </c>
      <c r="F37" s="9"/>
      <c r="G37" s="9"/>
      <c r="H37" s="14" t="s">
        <v>7</v>
      </c>
      <c r="I37" s="13"/>
      <c r="J37" s="13"/>
      <c r="K37" s="13"/>
      <c r="L37" s="13"/>
      <c r="M37" s="12"/>
      <c r="N37" s="12"/>
      <c r="O37" s="12"/>
      <c r="P37" s="13"/>
    </row>
    <row r="38" spans="1:16" x14ac:dyDescent="0.25">
      <c r="A38" s="5"/>
      <c r="B38" s="5" t="s">
        <v>7</v>
      </c>
      <c r="C38" s="6" t="s">
        <v>11</v>
      </c>
      <c r="D38" s="4" t="s">
        <v>23</v>
      </c>
      <c r="F38" s="9"/>
      <c r="G38" s="9"/>
      <c r="H38" s="12">
        <v>500</v>
      </c>
    </row>
    <row r="39" spans="1:16" x14ac:dyDescent="0.25">
      <c r="A39" s="5"/>
      <c r="B39" s="5" t="s">
        <v>17</v>
      </c>
      <c r="C39" s="6" t="s">
        <v>29</v>
      </c>
      <c r="D39" s="4" t="s">
        <v>22</v>
      </c>
      <c r="F39" s="9"/>
      <c r="G39" s="9"/>
      <c r="H39" s="12">
        <v>-16</v>
      </c>
      <c r="I39" s="13">
        <v>-8</v>
      </c>
      <c r="J39" s="13">
        <v>-4</v>
      </c>
      <c r="K39" s="13">
        <v>-2</v>
      </c>
      <c r="L39" s="13">
        <v>0</v>
      </c>
      <c r="M39" s="12">
        <v>2</v>
      </c>
      <c r="N39" s="12">
        <v>4</v>
      </c>
      <c r="O39" s="12">
        <v>8</v>
      </c>
      <c r="P39" s="13">
        <v>16</v>
      </c>
    </row>
    <row r="40" spans="1:16" x14ac:dyDescent="0.25">
      <c r="A40" s="5"/>
      <c r="B40" s="5"/>
      <c r="C40" s="6" t="s">
        <v>30</v>
      </c>
      <c r="D40" s="4" t="s">
        <v>25</v>
      </c>
      <c r="F40" s="9"/>
      <c r="G40" s="9"/>
      <c r="H40" s="12">
        <f>H39*$P$58</f>
        <v>-16</v>
      </c>
      <c r="I40" s="12">
        <f t="shared" ref="I40:P40" si="2">I39*$P$58</f>
        <v>-8</v>
      </c>
      <c r="J40" s="12">
        <f t="shared" si="2"/>
        <v>-4</v>
      </c>
      <c r="K40" s="12">
        <f t="shared" si="2"/>
        <v>-2</v>
      </c>
      <c r="L40" s="12">
        <f t="shared" si="2"/>
        <v>0</v>
      </c>
      <c r="M40" s="12">
        <f t="shared" si="2"/>
        <v>2</v>
      </c>
      <c r="N40" s="12">
        <f t="shared" si="2"/>
        <v>4</v>
      </c>
      <c r="O40" s="12">
        <f t="shared" si="2"/>
        <v>8</v>
      </c>
      <c r="P40" s="12">
        <f t="shared" si="2"/>
        <v>16</v>
      </c>
    </row>
    <row r="41" spans="1:16" x14ac:dyDescent="0.25">
      <c r="A41" s="5" t="s">
        <v>56</v>
      </c>
      <c r="B41" s="5" t="s">
        <v>16</v>
      </c>
      <c r="C41" s="6"/>
      <c r="E41" s="4" t="s">
        <v>18</v>
      </c>
      <c r="F41" s="9"/>
      <c r="G41" s="9"/>
      <c r="H41" s="14" t="s">
        <v>7</v>
      </c>
      <c r="I41" s="13"/>
      <c r="J41" s="13"/>
      <c r="K41" s="13"/>
      <c r="L41" s="13"/>
      <c r="M41" s="12"/>
      <c r="N41" s="12"/>
      <c r="O41" s="12"/>
      <c r="P41" s="13"/>
    </row>
    <row r="42" spans="1:16" x14ac:dyDescent="0.25">
      <c r="A42" s="5"/>
      <c r="B42" s="5" t="s">
        <v>7</v>
      </c>
      <c r="C42" s="6" t="s">
        <v>8</v>
      </c>
      <c r="D42" s="4" t="s">
        <v>24</v>
      </c>
      <c r="F42" s="9"/>
      <c r="G42" s="9"/>
      <c r="H42" s="12">
        <v>50</v>
      </c>
      <c r="I42" s="13"/>
      <c r="J42" s="13"/>
      <c r="K42" s="13"/>
    </row>
    <row r="43" spans="1:16" x14ac:dyDescent="0.25">
      <c r="A43" s="5"/>
      <c r="B43" s="5" t="s">
        <v>17</v>
      </c>
      <c r="C43" s="6" t="s">
        <v>31</v>
      </c>
      <c r="D43" s="4" t="s">
        <v>26</v>
      </c>
      <c r="F43" s="9"/>
      <c r="G43" s="9"/>
      <c r="H43" s="12">
        <v>-16</v>
      </c>
      <c r="I43" s="13">
        <v>-8</v>
      </c>
      <c r="J43" s="13">
        <v>-4</v>
      </c>
      <c r="K43" s="13">
        <v>-2</v>
      </c>
      <c r="L43" s="13">
        <v>0</v>
      </c>
      <c r="M43" s="12">
        <v>2</v>
      </c>
      <c r="N43" s="12">
        <v>4</v>
      </c>
      <c r="O43" s="12">
        <v>8</v>
      </c>
      <c r="P43" s="13">
        <v>16</v>
      </c>
    </row>
    <row r="44" spans="1:16" x14ac:dyDescent="0.25">
      <c r="A44" s="5"/>
      <c r="B44" s="5"/>
      <c r="C44" s="6" t="s">
        <v>30</v>
      </c>
      <c r="D44" s="4" t="s">
        <v>25</v>
      </c>
      <c r="F44" s="9"/>
      <c r="G44" s="9"/>
      <c r="H44" s="12">
        <f>H43*$P$59</f>
        <v>-16</v>
      </c>
      <c r="I44" s="12">
        <f t="shared" ref="I44:P44" si="3">I43*$P$59</f>
        <v>-8</v>
      </c>
      <c r="J44" s="12">
        <f t="shared" si="3"/>
        <v>-4</v>
      </c>
      <c r="K44" s="12">
        <f t="shared" si="3"/>
        <v>-2</v>
      </c>
      <c r="L44" s="12">
        <f t="shared" si="3"/>
        <v>0</v>
      </c>
      <c r="M44" s="12">
        <f t="shared" si="3"/>
        <v>2</v>
      </c>
      <c r="N44" s="12">
        <f t="shared" si="3"/>
        <v>4</v>
      </c>
      <c r="O44" s="12">
        <f t="shared" si="3"/>
        <v>8</v>
      </c>
      <c r="P44" s="12">
        <f t="shared" si="3"/>
        <v>16</v>
      </c>
    </row>
    <row r="45" spans="1:16" x14ac:dyDescent="0.25">
      <c r="A45" s="6" t="s">
        <v>57</v>
      </c>
      <c r="B45" s="5" t="s">
        <v>16</v>
      </c>
      <c r="C45" s="6"/>
      <c r="E45" s="4" t="s">
        <v>18</v>
      </c>
      <c r="F45" s="9"/>
      <c r="G45" s="9"/>
      <c r="H45" s="14" t="s">
        <v>7</v>
      </c>
      <c r="I45" s="13"/>
      <c r="J45" s="13"/>
      <c r="K45" s="13"/>
      <c r="L45" s="13"/>
      <c r="M45" s="12"/>
      <c r="N45" s="12"/>
      <c r="O45" s="12"/>
      <c r="P45" s="13"/>
    </row>
    <row r="46" spans="1:16" x14ac:dyDescent="0.25">
      <c r="A46" s="5"/>
      <c r="B46" s="5" t="s">
        <v>7</v>
      </c>
      <c r="C46" s="6" t="s">
        <v>11</v>
      </c>
      <c r="D46" s="4" t="s">
        <v>23</v>
      </c>
      <c r="F46" s="9"/>
      <c r="G46" s="9"/>
      <c r="H46" s="12">
        <v>500</v>
      </c>
    </row>
    <row r="47" spans="1:16" x14ac:dyDescent="0.25">
      <c r="A47" s="5"/>
      <c r="B47" s="5" t="s">
        <v>17</v>
      </c>
      <c r="C47" s="6" t="s">
        <v>29</v>
      </c>
      <c r="D47" s="4" t="s">
        <v>22</v>
      </c>
      <c r="F47" s="9"/>
      <c r="G47" s="9"/>
      <c r="H47" s="12">
        <v>-16</v>
      </c>
      <c r="I47" s="13">
        <v>-8</v>
      </c>
      <c r="J47" s="13">
        <v>-4</v>
      </c>
      <c r="K47" s="13">
        <v>-2</v>
      </c>
      <c r="L47" s="13">
        <v>0</v>
      </c>
      <c r="M47" s="12">
        <v>2</v>
      </c>
      <c r="N47" s="12">
        <v>4</v>
      </c>
      <c r="O47" s="12">
        <v>8</v>
      </c>
      <c r="P47" s="13">
        <v>16</v>
      </c>
    </row>
    <row r="48" spans="1:16" x14ac:dyDescent="0.25">
      <c r="A48" s="5"/>
      <c r="B48" s="5"/>
      <c r="C48" s="6" t="s">
        <v>30</v>
      </c>
      <c r="D48" s="4" t="s">
        <v>25</v>
      </c>
      <c r="F48" s="9"/>
      <c r="G48" s="9"/>
      <c r="H48" s="12">
        <f>H47*$P$60</f>
        <v>-16</v>
      </c>
      <c r="I48" s="12">
        <f t="shared" ref="I48:P48" si="4">I47*$P$60</f>
        <v>-8</v>
      </c>
      <c r="J48" s="12">
        <f t="shared" si="4"/>
        <v>-4</v>
      </c>
      <c r="K48" s="12">
        <f t="shared" si="4"/>
        <v>-2</v>
      </c>
      <c r="L48" s="12">
        <f t="shared" si="4"/>
        <v>0</v>
      </c>
      <c r="M48" s="12">
        <f t="shared" si="4"/>
        <v>2</v>
      </c>
      <c r="N48" s="12">
        <f t="shared" si="4"/>
        <v>4</v>
      </c>
      <c r="O48" s="12">
        <f t="shared" si="4"/>
        <v>8</v>
      </c>
      <c r="P48" s="12">
        <f t="shared" si="4"/>
        <v>16</v>
      </c>
    </row>
    <row r="49" spans="1:16" x14ac:dyDescent="0.25">
      <c r="A49" s="5" t="s">
        <v>58</v>
      </c>
      <c r="B49" s="5" t="s">
        <v>16</v>
      </c>
      <c r="C49" s="6"/>
      <c r="E49" s="4" t="s">
        <v>18</v>
      </c>
      <c r="F49" s="9"/>
      <c r="G49" s="9"/>
      <c r="H49" s="14" t="s">
        <v>7</v>
      </c>
      <c r="I49" s="13"/>
      <c r="J49" s="13"/>
      <c r="K49" s="13"/>
      <c r="L49" s="13"/>
      <c r="M49" s="12"/>
      <c r="N49" s="12"/>
      <c r="O49" s="12"/>
      <c r="P49" s="13"/>
    </row>
    <row r="50" spans="1:16" x14ac:dyDescent="0.25">
      <c r="A50" s="5"/>
      <c r="B50" s="5" t="s">
        <v>7</v>
      </c>
      <c r="C50" s="6" t="s">
        <v>8</v>
      </c>
      <c r="D50" s="4" t="s">
        <v>24</v>
      </c>
      <c r="F50" s="9"/>
      <c r="G50" s="9"/>
      <c r="H50" s="12">
        <v>50</v>
      </c>
      <c r="I50" s="13"/>
      <c r="J50" s="13"/>
      <c r="K50" s="13"/>
    </row>
    <row r="51" spans="1:16" x14ac:dyDescent="0.25">
      <c r="A51" s="5"/>
      <c r="B51" s="5" t="s">
        <v>17</v>
      </c>
      <c r="C51" s="6" t="s">
        <v>31</v>
      </c>
      <c r="D51" s="4" t="s">
        <v>26</v>
      </c>
      <c r="F51" s="9"/>
      <c r="G51" s="9"/>
      <c r="H51" s="12">
        <v>-16</v>
      </c>
      <c r="I51" s="13">
        <v>-8</v>
      </c>
      <c r="J51" s="13">
        <v>-4</v>
      </c>
      <c r="K51" s="13">
        <v>-2</v>
      </c>
      <c r="L51" s="13">
        <v>0</v>
      </c>
      <c r="M51" s="12">
        <v>2</v>
      </c>
      <c r="N51" s="12">
        <v>4</v>
      </c>
      <c r="O51" s="12">
        <v>8</v>
      </c>
      <c r="P51" s="13">
        <v>16</v>
      </c>
    </row>
    <row r="52" spans="1:16" x14ac:dyDescent="0.25">
      <c r="A52" s="19"/>
      <c r="B52" s="19"/>
      <c r="C52" s="20" t="s">
        <v>30</v>
      </c>
      <c r="D52" s="21" t="s">
        <v>25</v>
      </c>
      <c r="E52" s="21"/>
      <c r="F52" s="22"/>
      <c r="G52" s="22"/>
      <c r="H52" s="23">
        <f>H51*$P$61</f>
        <v>-16</v>
      </c>
      <c r="I52" s="23">
        <f t="shared" ref="I52:P52" si="5">I51*$P$61</f>
        <v>-8</v>
      </c>
      <c r="J52" s="23">
        <f t="shared" si="5"/>
        <v>-4</v>
      </c>
      <c r="K52" s="23">
        <f t="shared" si="5"/>
        <v>-2</v>
      </c>
      <c r="L52" s="23">
        <f t="shared" si="5"/>
        <v>0</v>
      </c>
      <c r="M52" s="23">
        <f t="shared" si="5"/>
        <v>2</v>
      </c>
      <c r="N52" s="23">
        <f t="shared" si="5"/>
        <v>4</v>
      </c>
      <c r="O52" s="23">
        <f t="shared" si="5"/>
        <v>8</v>
      </c>
      <c r="P52" s="23">
        <f t="shared" si="5"/>
        <v>16</v>
      </c>
    </row>
    <row r="55" spans="1:16" x14ac:dyDescent="0.25">
      <c r="O55" s="25" t="s">
        <v>27</v>
      </c>
      <c r="P55" s="4" t="s">
        <v>28</v>
      </c>
    </row>
    <row r="56" spans="1:16" x14ac:dyDescent="0.25">
      <c r="N56" s="4" t="s">
        <v>32</v>
      </c>
      <c r="O56" s="4">
        <v>1000</v>
      </c>
      <c r="P56" s="4">
        <v>1</v>
      </c>
    </row>
    <row r="57" spans="1:16" x14ac:dyDescent="0.25">
      <c r="N57" s="4" t="s">
        <v>33</v>
      </c>
      <c r="O57" s="4">
        <v>1000</v>
      </c>
      <c r="P57" s="4">
        <v>1</v>
      </c>
    </row>
    <row r="58" spans="1:16" x14ac:dyDescent="0.25">
      <c r="N58" s="4" t="s">
        <v>34</v>
      </c>
      <c r="O58" s="4">
        <v>1000</v>
      </c>
      <c r="P58" s="4">
        <v>1</v>
      </c>
    </row>
    <row r="59" spans="1:16" x14ac:dyDescent="0.25">
      <c r="N59" s="4" t="s">
        <v>35</v>
      </c>
      <c r="O59" s="4">
        <v>1000</v>
      </c>
      <c r="P59" s="4">
        <v>1</v>
      </c>
    </row>
    <row r="60" spans="1:16" x14ac:dyDescent="0.25">
      <c r="N60" s="4" t="s">
        <v>36</v>
      </c>
      <c r="O60" s="4">
        <v>1000</v>
      </c>
      <c r="P60" s="4">
        <v>1</v>
      </c>
    </row>
    <row r="61" spans="1:16" x14ac:dyDescent="0.25">
      <c r="N61" s="4" t="s">
        <v>37</v>
      </c>
      <c r="O61" s="21">
        <v>1000</v>
      </c>
      <c r="P61" s="21">
        <v>1</v>
      </c>
    </row>
    <row r="62" spans="1:16" x14ac:dyDescent="0.25">
      <c r="N62" s="4" t="s">
        <v>38</v>
      </c>
      <c r="O62" s="26">
        <v>1000</v>
      </c>
      <c r="P62" s="26">
        <v>1</v>
      </c>
    </row>
    <row r="63" spans="1:16" x14ac:dyDescent="0.25">
      <c r="N63" s="4" t="s">
        <v>39</v>
      </c>
      <c r="O63" s="4">
        <v>1000</v>
      </c>
      <c r="P63" s="4">
        <v>1</v>
      </c>
    </row>
    <row r="64" spans="1:16" x14ac:dyDescent="0.25">
      <c r="N64" s="4" t="s">
        <v>40</v>
      </c>
      <c r="O64" s="4">
        <v>1000</v>
      </c>
      <c r="P64" s="4">
        <v>1</v>
      </c>
    </row>
    <row r="65" spans="1:16" x14ac:dyDescent="0.25">
      <c r="N65" s="4" t="s">
        <v>41</v>
      </c>
      <c r="O65" s="4">
        <v>1000</v>
      </c>
      <c r="P65" s="4">
        <v>1</v>
      </c>
    </row>
    <row r="66" spans="1:16" x14ac:dyDescent="0.25">
      <c r="N66" s="4" t="s">
        <v>42</v>
      </c>
      <c r="O66" s="4">
        <v>1000</v>
      </c>
      <c r="P66" s="4">
        <v>1</v>
      </c>
    </row>
    <row r="67" spans="1:16" x14ac:dyDescent="0.25">
      <c r="N67" s="4" t="s">
        <v>43</v>
      </c>
      <c r="O67" s="4">
        <v>1000</v>
      </c>
      <c r="P67" s="4">
        <v>1</v>
      </c>
    </row>
    <row r="68" spans="1:16" x14ac:dyDescent="0.25">
      <c r="B68" s="11"/>
      <c r="F68" s="9"/>
      <c r="G68" s="9"/>
      <c r="H68" s="12"/>
      <c r="I68" s="13"/>
      <c r="J68" s="13"/>
      <c r="K68" s="13"/>
      <c r="L68" s="13"/>
      <c r="M68" s="12"/>
      <c r="N68" s="12"/>
      <c r="O68" s="12"/>
      <c r="P68" s="13"/>
    </row>
    <row r="69" spans="1:16" x14ac:dyDescent="0.25">
      <c r="A69" s="4"/>
      <c r="B69" s="11"/>
      <c r="F69" s="9"/>
      <c r="G69" s="9"/>
      <c r="H69" s="14"/>
      <c r="I69" s="13"/>
      <c r="J69" s="13"/>
      <c r="K69" s="13"/>
      <c r="L69" s="13"/>
      <c r="M69" s="12"/>
      <c r="N69" s="12"/>
      <c r="O69" s="12"/>
      <c r="P69" s="13"/>
    </row>
    <row r="70" spans="1:16" x14ac:dyDescent="0.25">
      <c r="B70" s="11"/>
      <c r="F70" s="9"/>
      <c r="G70" s="9"/>
      <c r="H70" s="10"/>
    </row>
    <row r="71" spans="1:16" x14ac:dyDescent="0.25">
      <c r="B71" s="11"/>
      <c r="F71" s="9"/>
      <c r="G71" s="9"/>
      <c r="H71" s="12"/>
      <c r="I71" s="13"/>
      <c r="J71" s="13"/>
      <c r="K71" s="13"/>
      <c r="L71" s="13"/>
      <c r="M71" s="12"/>
      <c r="N71" s="12"/>
      <c r="O71" s="12"/>
      <c r="P71" s="13"/>
    </row>
    <row r="72" spans="1:16" x14ac:dyDescent="0.25">
      <c r="B72" s="11"/>
      <c r="F72" s="9"/>
      <c r="G72" s="9"/>
      <c r="H72" s="12"/>
      <c r="I72" s="13"/>
      <c r="J72" s="13"/>
      <c r="K72" s="13"/>
      <c r="L72" s="13"/>
      <c r="M72" s="12"/>
      <c r="N72" s="12"/>
      <c r="O72" s="12"/>
      <c r="P72" s="13"/>
    </row>
    <row r="73" spans="1:16" x14ac:dyDescent="0.25">
      <c r="B73" s="11"/>
      <c r="F73" s="9"/>
      <c r="G73" s="9"/>
      <c r="H73" s="14"/>
      <c r="I73" s="13"/>
      <c r="J73" s="13"/>
      <c r="K73" s="13"/>
      <c r="L73" s="13"/>
      <c r="M73" s="12"/>
      <c r="N73" s="12"/>
      <c r="O73" s="12"/>
      <c r="P73" s="13"/>
    </row>
    <row r="74" spans="1:16" x14ac:dyDescent="0.25">
      <c r="B74" s="11"/>
      <c r="F74" s="9"/>
      <c r="G74" s="9"/>
      <c r="H74" s="10"/>
      <c r="I74" s="13"/>
      <c r="J74" s="13"/>
      <c r="K74" s="13"/>
    </row>
    <row r="75" spans="1:16" x14ac:dyDescent="0.25">
      <c r="B75" s="11"/>
      <c r="F75" s="9"/>
      <c r="G75" s="9"/>
      <c r="H75" s="12"/>
      <c r="I75" s="13"/>
      <c r="J75" s="13"/>
      <c r="K75" s="13"/>
      <c r="L75" s="13"/>
      <c r="M75" s="12"/>
      <c r="N75" s="12"/>
      <c r="O75" s="12"/>
      <c r="P75" s="13"/>
    </row>
    <row r="76" spans="1:16" x14ac:dyDescent="0.25">
      <c r="B76" s="11"/>
      <c r="F76" s="9"/>
      <c r="G76" s="9"/>
      <c r="H76" s="12"/>
      <c r="I76" s="13"/>
      <c r="J76" s="13"/>
      <c r="K76" s="13"/>
      <c r="L76" s="13"/>
      <c r="M76" s="12"/>
      <c r="N76" s="12"/>
      <c r="O76" s="12"/>
      <c r="P76" s="13"/>
    </row>
    <row r="77" spans="1:16" x14ac:dyDescent="0.25">
      <c r="H77" s="14"/>
    </row>
    <row r="78" spans="1:16" x14ac:dyDescent="0.25">
      <c r="B78" s="11"/>
      <c r="F78" s="9"/>
      <c r="G78" s="9"/>
      <c r="H78" s="12"/>
    </row>
    <row r="79" spans="1:16" x14ac:dyDescent="0.25">
      <c r="B79" s="11"/>
      <c r="F79" s="9"/>
      <c r="G79" s="9"/>
      <c r="H79" s="12"/>
      <c r="I79" s="13"/>
      <c r="J79" s="13"/>
      <c r="K79" s="13"/>
      <c r="L79" s="13"/>
      <c r="M79" s="12"/>
      <c r="N79" s="12"/>
      <c r="O79" s="12"/>
      <c r="P79" s="13"/>
    </row>
    <row r="80" spans="1:16" x14ac:dyDescent="0.25">
      <c r="B80" s="11"/>
      <c r="F80" s="9"/>
      <c r="G80" s="9"/>
      <c r="H80" s="12"/>
      <c r="I80" s="12"/>
      <c r="J80" s="12"/>
      <c r="K80" s="12"/>
      <c r="L80" s="12"/>
      <c r="M80" s="12"/>
      <c r="N80" s="12"/>
      <c r="O80" s="12"/>
      <c r="P80" s="12"/>
    </row>
    <row r="81" spans="1:16" x14ac:dyDescent="0.25">
      <c r="H81" s="14"/>
      <c r="I81" s="13"/>
      <c r="J81" s="13"/>
      <c r="K81" s="13"/>
    </row>
    <row r="82" spans="1:16" x14ac:dyDescent="0.25">
      <c r="B82" s="11"/>
      <c r="F82" s="9"/>
      <c r="G82" s="9"/>
      <c r="H82" s="12"/>
      <c r="I82" s="13"/>
      <c r="J82" s="13"/>
      <c r="K82" s="13"/>
    </row>
    <row r="83" spans="1:16" x14ac:dyDescent="0.25">
      <c r="B83" s="11"/>
      <c r="F83" s="9"/>
      <c r="G83" s="9"/>
      <c r="H83" s="12"/>
      <c r="I83" s="13"/>
      <c r="J83" s="13"/>
      <c r="K83" s="13"/>
      <c r="L83" s="13"/>
      <c r="M83" s="12"/>
      <c r="N83" s="12"/>
      <c r="O83" s="12"/>
      <c r="P83" s="13"/>
    </row>
    <row r="84" spans="1:16" x14ac:dyDescent="0.25">
      <c r="A84" s="4"/>
      <c r="B84" s="11"/>
      <c r="F84" s="9"/>
      <c r="G84" s="9"/>
      <c r="H84" s="12"/>
      <c r="I84" s="12"/>
      <c r="J84" s="12"/>
      <c r="K84" s="12"/>
      <c r="L84" s="12"/>
      <c r="M84" s="12"/>
      <c r="N84" s="12"/>
      <c r="O84" s="12"/>
      <c r="P84" s="12"/>
    </row>
    <row r="85" spans="1:16" x14ac:dyDescent="0.25">
      <c r="A85" s="4"/>
      <c r="B85" s="11"/>
      <c r="F85" s="9"/>
      <c r="G85" s="9"/>
      <c r="H85" s="14"/>
      <c r="I85" s="13"/>
      <c r="J85" s="13"/>
      <c r="K85" s="13"/>
      <c r="L85" s="13"/>
      <c r="M85" s="12"/>
      <c r="N85" s="12"/>
      <c r="O85" s="12"/>
      <c r="P85" s="13"/>
    </row>
    <row r="86" spans="1:16" x14ac:dyDescent="0.25">
      <c r="B86" s="11"/>
      <c r="F86" s="9"/>
      <c r="G86" s="9"/>
      <c r="H86" s="12"/>
    </row>
    <row r="87" spans="1:16" x14ac:dyDescent="0.25">
      <c r="B87" s="11"/>
      <c r="F87" s="9"/>
      <c r="G87" s="9"/>
      <c r="H87" s="12"/>
      <c r="I87" s="13"/>
      <c r="J87" s="13"/>
      <c r="K87" s="13"/>
      <c r="L87" s="13"/>
      <c r="M87" s="12"/>
      <c r="N87" s="12"/>
      <c r="O87" s="12"/>
      <c r="P87" s="13"/>
    </row>
    <row r="88" spans="1:16" x14ac:dyDescent="0.25">
      <c r="B88" s="11"/>
      <c r="F88" s="9"/>
      <c r="G88" s="9"/>
      <c r="H88" s="12"/>
      <c r="I88" s="12"/>
      <c r="J88" s="12"/>
      <c r="K88" s="12"/>
      <c r="L88" s="12"/>
      <c r="M88" s="12"/>
      <c r="N88" s="12"/>
      <c r="O88" s="12"/>
      <c r="P88" s="12"/>
    </row>
    <row r="89" spans="1:16" x14ac:dyDescent="0.25">
      <c r="B89" s="11"/>
      <c r="F89" s="9"/>
      <c r="G89" s="9"/>
      <c r="H89" s="14"/>
      <c r="I89" s="13"/>
      <c r="J89" s="13"/>
      <c r="K89" s="13"/>
      <c r="L89" s="13"/>
      <c r="M89" s="12"/>
      <c r="N89" s="12"/>
      <c r="O89" s="12"/>
      <c r="P89" s="13"/>
    </row>
    <row r="90" spans="1:16" x14ac:dyDescent="0.25">
      <c r="B90" s="11"/>
      <c r="F90" s="9"/>
      <c r="G90" s="9"/>
      <c r="H90" s="12"/>
      <c r="I90" s="13"/>
      <c r="J90" s="13"/>
      <c r="K90" s="13"/>
    </row>
    <row r="91" spans="1:16" x14ac:dyDescent="0.25">
      <c r="B91" s="11"/>
      <c r="F91" s="9"/>
      <c r="G91" s="9"/>
      <c r="H91" s="12"/>
      <c r="I91" s="13"/>
      <c r="J91" s="13"/>
      <c r="K91" s="13"/>
      <c r="L91" s="13"/>
      <c r="M91" s="12"/>
      <c r="N91" s="12"/>
      <c r="O91" s="12"/>
      <c r="P91" s="13"/>
    </row>
    <row r="92" spans="1:16" x14ac:dyDescent="0.25">
      <c r="B92" s="11"/>
      <c r="F92" s="9"/>
      <c r="G92" s="9"/>
      <c r="H92" s="12"/>
      <c r="I92" s="12"/>
      <c r="J92" s="12"/>
      <c r="K92" s="12"/>
      <c r="L92" s="12"/>
      <c r="M92" s="12"/>
      <c r="N92" s="12"/>
      <c r="O92" s="12"/>
      <c r="P92" s="12"/>
    </row>
    <row r="93" spans="1:16" x14ac:dyDescent="0.25">
      <c r="A93" s="4"/>
      <c r="B93" s="11"/>
      <c r="F93" s="9"/>
      <c r="G93" s="9"/>
      <c r="H93" s="14"/>
      <c r="I93" s="13"/>
      <c r="J93" s="13"/>
      <c r="K93" s="13"/>
      <c r="L93" s="13"/>
      <c r="M93" s="12"/>
      <c r="N93" s="12"/>
      <c r="O93" s="12"/>
      <c r="P93" s="13"/>
    </row>
    <row r="94" spans="1:16" x14ac:dyDescent="0.25">
      <c r="B94" s="11"/>
      <c r="F94" s="9"/>
      <c r="G94" s="9"/>
      <c r="H94" s="12"/>
    </row>
    <row r="95" spans="1:16" x14ac:dyDescent="0.25">
      <c r="B95" s="11"/>
      <c r="F95" s="9"/>
      <c r="G95" s="9"/>
      <c r="H95" s="12"/>
      <c r="I95" s="13"/>
      <c r="J95" s="13"/>
      <c r="K95" s="13"/>
      <c r="L95" s="13"/>
      <c r="M95" s="12"/>
      <c r="N95" s="12"/>
      <c r="O95" s="12"/>
      <c r="P95" s="13"/>
    </row>
    <row r="96" spans="1:16" x14ac:dyDescent="0.25">
      <c r="B96" s="11"/>
      <c r="F96" s="9"/>
      <c r="G96" s="9"/>
      <c r="H96" s="12"/>
      <c r="I96" s="12"/>
      <c r="J96" s="12"/>
      <c r="K96" s="12"/>
      <c r="L96" s="12"/>
      <c r="M96" s="12"/>
      <c r="N96" s="12"/>
      <c r="O96" s="12"/>
      <c r="P96" s="12"/>
    </row>
    <row r="97" spans="2:16" x14ac:dyDescent="0.25">
      <c r="B97" s="11"/>
      <c r="F97" s="9"/>
      <c r="G97" s="9"/>
      <c r="H97" s="14"/>
      <c r="I97" s="13"/>
      <c r="J97" s="13"/>
      <c r="K97" s="13"/>
      <c r="L97" s="13"/>
      <c r="M97" s="12"/>
      <c r="N97" s="12"/>
      <c r="O97" s="12"/>
      <c r="P97" s="13"/>
    </row>
    <row r="98" spans="2:16" x14ac:dyDescent="0.25">
      <c r="B98" s="11"/>
      <c r="F98" s="9"/>
      <c r="G98" s="9"/>
      <c r="H98" s="12"/>
      <c r="I98" s="13"/>
      <c r="J98" s="13"/>
      <c r="K98" s="13"/>
    </row>
    <row r="99" spans="2:16" x14ac:dyDescent="0.25">
      <c r="B99" s="11"/>
      <c r="F99" s="9"/>
      <c r="G99" s="9"/>
      <c r="H99" s="12"/>
      <c r="I99" s="13"/>
      <c r="J99" s="13"/>
      <c r="K99" s="13"/>
      <c r="L99" s="13"/>
      <c r="M99" s="12"/>
      <c r="N99" s="12"/>
      <c r="O99" s="12"/>
      <c r="P99" s="13"/>
    </row>
    <row r="100" spans="2:16" x14ac:dyDescent="0.25">
      <c r="B100" s="11"/>
      <c r="F100" s="9"/>
      <c r="G100" s="9"/>
      <c r="H100" s="12"/>
      <c r="I100" s="12"/>
      <c r="J100" s="12"/>
      <c r="K100" s="12"/>
      <c r="L100" s="12"/>
      <c r="M100" s="12"/>
      <c r="N100" s="12"/>
      <c r="O100" s="12"/>
      <c r="P100" s="12"/>
    </row>
    <row r="103" spans="2:16" x14ac:dyDescent="0.25">
      <c r="O103" s="25"/>
    </row>
    <row r="115" spans="15:16" x14ac:dyDescent="0.25">
      <c r="O115" s="21"/>
      <c r="P115" s="21"/>
    </row>
  </sheetData>
  <conditionalFormatting sqref="B6:C8 B10:C28 A19 A27 B30:C32 B34:C52 A43 A51">
    <cfRule type="cellIs" dxfId="1" priority="1" operator="equal">
      <formula>"class"</formula>
    </cfRule>
  </conditionalFormatting>
  <conditionalFormatting sqref="B68:C76 A75 B78:C80 B82:C100 A91 A99">
    <cfRule type="cellIs" dxfId="0" priority="2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Sef_LUT_Whl</vt:lpstr>
      <vt:lpstr>Ser_LUT_Whl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2026-02-09T18:50:30Z</dcterms:modified>
</cp:coreProperties>
</file>