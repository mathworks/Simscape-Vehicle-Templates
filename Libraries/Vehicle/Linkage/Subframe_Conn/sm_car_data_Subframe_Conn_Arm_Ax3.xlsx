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2FD0CFFE-A4B8-4ECA-81E7-6B0B03A375F7}" xr6:coauthVersionLast="47" xr6:coauthVersionMax="47" xr10:uidLastSave="{00000000-0000-0000-0000-000000000000}"/>
  <bookViews>
    <workbookView xWindow="1305" yWindow="720" windowWidth="25545" windowHeight="10215" tabRatio="988" xr2:uid="{5C9B011B-FECB-46A4-81D1-C980D278E613}"/>
  </bookViews>
  <sheets>
    <sheet name="BushArm_Ax3_SedanLG_UA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3" l="1"/>
  <c r="H8" i="53" s="1"/>
  <c r="F7" i="53"/>
  <c r="F8" i="53" s="1"/>
  <c r="P5" i="53"/>
  <c r="H5" i="53" s="1"/>
  <c r="H6" i="53" s="1"/>
  <c r="O5" i="53"/>
  <c r="G7" i="53" s="1"/>
  <c r="G8" i="53" s="1"/>
  <c r="N5" i="53"/>
  <c r="F5" i="53" s="1"/>
  <c r="F6" i="53" s="1"/>
  <c r="P57" i="53"/>
  <c r="O57" i="53"/>
  <c r="N57" i="53"/>
  <c r="M57" i="53"/>
  <c r="L57" i="53"/>
  <c r="K57" i="53"/>
  <c r="J57" i="53"/>
  <c r="I57" i="53"/>
  <c r="H57" i="53"/>
  <c r="P53" i="53"/>
  <c r="O53" i="53"/>
  <c r="N53" i="53"/>
  <c r="M53" i="53"/>
  <c r="L53" i="53"/>
  <c r="K53" i="53"/>
  <c r="J53" i="53"/>
  <c r="I53" i="53"/>
  <c r="H53" i="53"/>
  <c r="P49" i="53"/>
  <c r="O49" i="53"/>
  <c r="N49" i="53"/>
  <c r="M49" i="53"/>
  <c r="L49" i="53"/>
  <c r="K49" i="53"/>
  <c r="J49" i="53"/>
  <c r="I49" i="53"/>
  <c r="H49" i="53"/>
  <c r="P45" i="53"/>
  <c r="O45" i="53"/>
  <c r="N45" i="53"/>
  <c r="M45" i="53"/>
  <c r="L45" i="53"/>
  <c r="K45" i="53"/>
  <c r="J45" i="53"/>
  <c r="I45" i="53"/>
  <c r="H45" i="53"/>
  <c r="P41" i="53"/>
  <c r="O41" i="53"/>
  <c r="N41" i="53"/>
  <c r="M41" i="53"/>
  <c r="L41" i="53"/>
  <c r="K41" i="53"/>
  <c r="J41" i="53"/>
  <c r="I41" i="53"/>
  <c r="H41" i="53"/>
  <c r="P37" i="53"/>
  <c r="O37" i="53"/>
  <c r="N37" i="53"/>
  <c r="M37" i="53"/>
  <c r="L37" i="53"/>
  <c r="K37" i="53"/>
  <c r="J37" i="53"/>
  <c r="I37" i="53"/>
  <c r="H37" i="53"/>
  <c r="P33" i="53"/>
  <c r="O33" i="53"/>
  <c r="N33" i="53"/>
  <c r="M33" i="53"/>
  <c r="L33" i="53"/>
  <c r="K33" i="53"/>
  <c r="J33" i="53"/>
  <c r="I33" i="53"/>
  <c r="H33" i="53"/>
  <c r="P29" i="53"/>
  <c r="O29" i="53"/>
  <c r="N29" i="53"/>
  <c r="M29" i="53"/>
  <c r="L29" i="53"/>
  <c r="K29" i="53"/>
  <c r="J29" i="53"/>
  <c r="I29" i="53"/>
  <c r="H29" i="53"/>
  <c r="P25" i="53"/>
  <c r="O25" i="53"/>
  <c r="N25" i="53"/>
  <c r="M25" i="53"/>
  <c r="L25" i="53"/>
  <c r="K25" i="53"/>
  <c r="J25" i="53"/>
  <c r="I25" i="53"/>
  <c r="H25" i="53"/>
  <c r="P21" i="53"/>
  <c r="O21" i="53"/>
  <c r="N21" i="53"/>
  <c r="M21" i="53"/>
  <c r="L21" i="53"/>
  <c r="K21" i="53"/>
  <c r="J21" i="53"/>
  <c r="I21" i="53"/>
  <c r="H21" i="53"/>
  <c r="P17" i="53"/>
  <c r="O17" i="53"/>
  <c r="N17" i="53"/>
  <c r="M17" i="53"/>
  <c r="L17" i="53"/>
  <c r="K17" i="53"/>
  <c r="J17" i="53"/>
  <c r="I17" i="53"/>
  <c r="H17" i="53"/>
  <c r="P13" i="53"/>
  <c r="O13" i="53"/>
  <c r="N13" i="53"/>
  <c r="M13" i="53"/>
  <c r="L13" i="53"/>
  <c r="K13" i="53"/>
  <c r="J13" i="53"/>
  <c r="I13" i="53"/>
  <c r="H13" i="53"/>
  <c r="G5" i="53" l="1"/>
  <c r="G6" i="53" s="1"/>
</calcChain>
</file>

<file path=xl/sharedStrings.xml><?xml version="1.0" encoding="utf-8"?>
<sst xmlns="http://schemas.openxmlformats.org/spreadsheetml/2006/main" count="168" uniqueCount="45">
  <si>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</si>
  <si>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</si>
  <si>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</si>
  <si>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</si>
  <si>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</si>
  <si>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</si>
  <si>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</si>
  <si>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</si>
  <si>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</si>
  <si>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</si>
  <si>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</si>
  <si>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</si>
  <si>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</si>
  <si>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</si>
  <si>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</si>
  <si>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</si>
  <si>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</si>
  <si>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</si>
  <si>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</si>
  <si>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</si>
  <si>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</si>
  <si>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</si>
  <si>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m</t>
  </si>
  <si>
    <t>Bushing_Ax3</t>
  </si>
  <si>
    <t>FSpringX</t>
  </si>
  <si>
    <t>FDamperX</t>
  </si>
  <si>
    <t>FSpringY</t>
  </si>
  <si>
    <t>FDamperY</t>
  </si>
  <si>
    <t>FSpringZ</t>
  </si>
  <si>
    <t>FDamperZ</t>
  </si>
  <si>
    <t>RSpringX</t>
  </si>
  <si>
    <t>RDamperX</t>
  </si>
  <si>
    <t>RSpringY</t>
  </si>
  <si>
    <t>RDamperY</t>
  </si>
  <si>
    <t>RSpringZ</t>
  </si>
  <si>
    <t>RDamperZ</t>
  </si>
  <si>
    <t>sFAxialOrientationZ</t>
  </si>
  <si>
    <t>sFAxialOrientationX</t>
  </si>
  <si>
    <t>sRAxialOrientationZ</t>
  </si>
  <si>
    <t>sRAxialOrientationX</t>
  </si>
  <si>
    <t>Joint HPs</t>
  </si>
  <si>
    <t>Delta</t>
  </si>
  <si>
    <t>BushArm_Ax3_SedanLG_UA</t>
  </si>
  <si>
    <t>AxisAttachment</t>
  </si>
  <si>
    <t>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</si>
</sst>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5" borderId="0" xfId="1" applyFill="1"/>
    <xf numFmtId="0" fontId="1" fillId="6" borderId="0" xfId="1" applyFill="1"/>
  </cellXfs>
  <cellStyles count="2">
    <cellStyle name="Normal" xfId="0" builtinId="0"/>
    <cellStyle name="Normal 2" xfId="1" xr:uid="{59B68FC0-DF65-45B7-9161-1BA244C01964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94F7-AB9B-48F6-A145-75B81F85FC35}">
  <sheetPr>
    <tabColor theme="7" tint="0.79998168889431442"/>
  </sheetPr>
  <dimension ref="A1:P104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K11" sqref="K11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6" width="7.42578125" style="4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23</v>
      </c>
    </row>
    <row r="4" spans="1:16" x14ac:dyDescent="0.25">
      <c r="A4" s="5" t="s">
        <v>6</v>
      </c>
      <c r="B4" s="6"/>
      <c r="C4" s="6"/>
      <c r="F4" s="7"/>
      <c r="G4" s="7"/>
      <c r="H4" s="8" t="s">
        <v>42</v>
      </c>
      <c r="J4" s="4" t="s">
        <v>40</v>
      </c>
      <c r="N4" s="4" t="s">
        <v>41</v>
      </c>
    </row>
    <row r="5" spans="1:16" x14ac:dyDescent="0.25">
      <c r="A5" s="5" t="s">
        <v>36</v>
      </c>
      <c r="B5" s="6"/>
      <c r="C5" s="6"/>
      <c r="D5" s="4" t="s">
        <v>22</v>
      </c>
      <c r="F5" s="19">
        <f>J5+$N$5</f>
        <v>0.51629999999999998</v>
      </c>
      <c r="G5" s="19">
        <f>K5+$O$5</f>
        <v>0.63060000000000005</v>
      </c>
      <c r="H5" s="19">
        <f>L5+$P$5</f>
        <v>0.5596000000000001</v>
      </c>
      <c r="J5" s="20">
        <v>0.1663</v>
      </c>
      <c r="K5" s="20">
        <v>0.63060000000000005</v>
      </c>
      <c r="L5" s="20">
        <v>0.53610000000000002</v>
      </c>
      <c r="N5" s="21">
        <f>J5-J7</f>
        <v>0.35</v>
      </c>
      <c r="O5" s="21">
        <f>K5-K7</f>
        <v>0</v>
      </c>
      <c r="P5" s="21">
        <f>L5-L7</f>
        <v>2.3500000000000076E-2</v>
      </c>
    </row>
    <row r="6" spans="1:16" x14ac:dyDescent="0.25">
      <c r="A6" s="5" t="s">
        <v>37</v>
      </c>
      <c r="B6" s="6"/>
      <c r="C6" s="6"/>
      <c r="D6" s="4" t="s">
        <v>22</v>
      </c>
      <c r="F6" s="19">
        <f>F5</f>
        <v>0.51629999999999998</v>
      </c>
      <c r="G6" s="19">
        <f>G5</f>
        <v>0.63060000000000005</v>
      </c>
      <c r="H6" s="19">
        <f>H5+0.01</f>
        <v>0.56960000000000011</v>
      </c>
      <c r="J6" s="20"/>
      <c r="K6" s="20"/>
      <c r="L6" s="20"/>
    </row>
    <row r="7" spans="1:16" x14ac:dyDescent="0.25">
      <c r="A7" s="5" t="s">
        <v>38</v>
      </c>
      <c r="B7" s="6"/>
      <c r="C7" s="6"/>
      <c r="D7" s="4" t="s">
        <v>22</v>
      </c>
      <c r="F7" s="19">
        <f>J7+$N$5</f>
        <v>0.16629999999999998</v>
      </c>
      <c r="G7" s="19">
        <f>K7+$O$5</f>
        <v>0.63060000000000005</v>
      </c>
      <c r="H7" s="19">
        <f>L7+$P$5</f>
        <v>0.53610000000000002</v>
      </c>
      <c r="J7" s="20">
        <v>-0.1837</v>
      </c>
      <c r="K7" s="20">
        <v>0.63060000000000005</v>
      </c>
      <c r="L7" s="20">
        <v>0.51259999999999994</v>
      </c>
    </row>
    <row r="8" spans="1:16" x14ac:dyDescent="0.25">
      <c r="A8" s="5" t="s">
        <v>39</v>
      </c>
      <c r="B8" s="6"/>
      <c r="C8" s="6"/>
      <c r="D8" s="4" t="s">
        <v>22</v>
      </c>
      <c r="F8" s="19">
        <f>F7</f>
        <v>0.16629999999999998</v>
      </c>
      <c r="G8" s="19">
        <f>G7</f>
        <v>0.63060000000000005</v>
      </c>
      <c r="H8" s="19">
        <f>H7+0.01</f>
        <v>0.54610000000000003</v>
      </c>
    </row>
    <row r="9" spans="1:16" x14ac:dyDescent="0.25">
      <c r="A9" s="5" t="s">
        <v>43</v>
      </c>
      <c r="B9" s="15" t="s">
        <v>19</v>
      </c>
      <c r="C9" s="16"/>
      <c r="D9" s="16"/>
      <c r="E9" s="16"/>
      <c r="F9" s="16"/>
      <c r="G9" s="17"/>
      <c r="H9" s="18" t="s">
        <v>44</v>
      </c>
    </row>
    <row r="10" spans="1:16" x14ac:dyDescent="0.25">
      <c r="A10" s="5" t="s">
        <v>24</v>
      </c>
      <c r="B10" s="6" t="s">
        <v>16</v>
      </c>
      <c r="C10" s="6"/>
      <c r="E10" s="4" t="s">
        <v>18</v>
      </c>
      <c r="H10" s="14" t="s">
        <v>7</v>
      </c>
    </row>
    <row r="11" spans="1:16" x14ac:dyDescent="0.25">
      <c r="A11" s="5"/>
      <c r="B11" s="5" t="s">
        <v>7</v>
      </c>
      <c r="C11" s="6" t="s">
        <v>11</v>
      </c>
      <c r="D11" s="4" t="s">
        <v>21</v>
      </c>
      <c r="F11" s="9"/>
      <c r="G11" s="9"/>
      <c r="H11" s="10">
        <v>2000</v>
      </c>
    </row>
    <row r="12" spans="1:16" x14ac:dyDescent="0.25">
      <c r="A12" s="5"/>
      <c r="B12" s="5" t="s">
        <v>17</v>
      </c>
      <c r="C12" s="6" t="s">
        <v>2</v>
      </c>
      <c r="D12" s="4" t="s">
        <v>10</v>
      </c>
      <c r="F12" s="9"/>
      <c r="G12" s="9"/>
      <c r="H12" s="12">
        <v>-4</v>
      </c>
      <c r="I12" s="13">
        <v>-3</v>
      </c>
      <c r="J12" s="13">
        <v>-2</v>
      </c>
      <c r="K12" s="13">
        <v>-1</v>
      </c>
      <c r="L12" s="13">
        <v>0</v>
      </c>
      <c r="M12" s="12">
        <v>1</v>
      </c>
      <c r="N12" s="12">
        <v>2</v>
      </c>
      <c r="O12" s="12">
        <v>3</v>
      </c>
      <c r="P12" s="13">
        <v>4</v>
      </c>
    </row>
    <row r="13" spans="1:16" x14ac:dyDescent="0.25">
      <c r="A13" s="5"/>
      <c r="B13" s="5"/>
      <c r="C13" s="6" t="s">
        <v>12</v>
      </c>
      <c r="D13" s="4" t="s">
        <v>13</v>
      </c>
      <c r="F13" s="9"/>
      <c r="G13" s="9"/>
      <c r="H13" s="12">
        <f>-4*P60</f>
        <v>-4000</v>
      </c>
      <c r="I13" s="13">
        <f>-2.75*P60</f>
        <v>-2750</v>
      </c>
      <c r="J13" s="13">
        <f>-1.5*P60</f>
        <v>-1500</v>
      </c>
      <c r="K13" s="13">
        <f>-0.5*P60</f>
        <v>-500</v>
      </c>
      <c r="L13" s="13">
        <f>0*P60</f>
        <v>0</v>
      </c>
      <c r="M13" s="12">
        <f>0.5*P60</f>
        <v>500</v>
      </c>
      <c r="N13" s="12">
        <f>1.5*P60</f>
        <v>1500</v>
      </c>
      <c r="O13" s="12">
        <f>2.75*P60</f>
        <v>2750</v>
      </c>
      <c r="P13" s="13">
        <f>4*P60</f>
        <v>4000</v>
      </c>
    </row>
    <row r="14" spans="1:16" x14ac:dyDescent="0.25">
      <c r="A14" s="5" t="s">
        <v>25</v>
      </c>
      <c r="B14" s="6" t="s">
        <v>16</v>
      </c>
      <c r="C14" s="6"/>
      <c r="E14" s="4" t="s">
        <v>18</v>
      </c>
      <c r="H14" s="14" t="s">
        <v>7</v>
      </c>
      <c r="I14" s="13"/>
      <c r="J14" s="13"/>
      <c r="K14" s="13"/>
    </row>
    <row r="15" spans="1:16" x14ac:dyDescent="0.25">
      <c r="A15" s="5"/>
      <c r="B15" s="5" t="s">
        <v>7</v>
      </c>
      <c r="C15" s="6" t="s">
        <v>8</v>
      </c>
      <c r="D15" s="4" t="s">
        <v>9</v>
      </c>
      <c r="F15" s="9"/>
      <c r="G15" s="9"/>
      <c r="H15" s="10">
        <v>2000</v>
      </c>
      <c r="I15" s="13"/>
      <c r="J15" s="13"/>
      <c r="K15" s="13"/>
    </row>
    <row r="16" spans="1:16" x14ac:dyDescent="0.25">
      <c r="A16" s="5"/>
      <c r="B16" s="5" t="s">
        <v>17</v>
      </c>
      <c r="C16" s="6" t="s">
        <v>14</v>
      </c>
      <c r="D16" s="4" t="s">
        <v>15</v>
      </c>
      <c r="F16" s="9"/>
      <c r="G16" s="9"/>
      <c r="H16" s="12">
        <v>-4</v>
      </c>
      <c r="I16" s="13">
        <v>-3</v>
      </c>
      <c r="J16" s="13">
        <v>-2</v>
      </c>
      <c r="K16" s="13">
        <v>-1</v>
      </c>
      <c r="L16" s="13">
        <v>0</v>
      </c>
      <c r="M16" s="12">
        <v>1</v>
      </c>
      <c r="N16" s="12">
        <v>2</v>
      </c>
      <c r="O16" s="12">
        <v>3</v>
      </c>
      <c r="P16" s="13">
        <v>4</v>
      </c>
    </row>
    <row r="17" spans="1:16" x14ac:dyDescent="0.25">
      <c r="A17" s="6"/>
      <c r="B17" s="5"/>
      <c r="C17" s="6" t="s">
        <v>12</v>
      </c>
      <c r="D17" s="4" t="s">
        <v>13</v>
      </c>
      <c r="F17" s="9"/>
      <c r="G17" s="9"/>
      <c r="H17" s="12">
        <f>-4*P64</f>
        <v>-4000</v>
      </c>
      <c r="I17" s="13">
        <f>-2.75*P64</f>
        <v>-2750</v>
      </c>
      <c r="J17" s="13">
        <f>-1.5*P64</f>
        <v>-1500</v>
      </c>
      <c r="K17" s="13">
        <f>-0.5*P64</f>
        <v>-500</v>
      </c>
      <c r="L17" s="13">
        <f>0*P64</f>
        <v>0</v>
      </c>
      <c r="M17" s="12">
        <f>0.5*P64</f>
        <v>500</v>
      </c>
      <c r="N17" s="12">
        <f>1.5*P64</f>
        <v>1500</v>
      </c>
      <c r="O17" s="12">
        <f>2.75*P64</f>
        <v>2750</v>
      </c>
      <c r="P17" s="13">
        <f>4*P64</f>
        <v>4000</v>
      </c>
    </row>
    <row r="18" spans="1:16" x14ac:dyDescent="0.25">
      <c r="A18" s="6" t="s">
        <v>26</v>
      </c>
      <c r="B18" s="5" t="s">
        <v>16</v>
      </c>
      <c r="C18" s="6"/>
      <c r="E18" s="4" t="s">
        <v>18</v>
      </c>
      <c r="F18" s="9"/>
      <c r="G18" s="9"/>
      <c r="H18" s="14" t="s">
        <v>7</v>
      </c>
      <c r="I18" s="13"/>
      <c r="J18" s="13"/>
      <c r="K18" s="13"/>
      <c r="L18" s="13"/>
      <c r="M18" s="12"/>
      <c r="N18" s="12"/>
      <c r="O18" s="12"/>
      <c r="P18" s="13"/>
    </row>
    <row r="19" spans="1:16" x14ac:dyDescent="0.25">
      <c r="A19" s="5"/>
      <c r="B19" s="5" t="s">
        <v>7</v>
      </c>
      <c r="C19" s="6" t="s">
        <v>11</v>
      </c>
      <c r="D19" s="4" t="s">
        <v>21</v>
      </c>
      <c r="F19" s="9"/>
      <c r="G19" s="9"/>
      <c r="H19" s="10">
        <v>2000</v>
      </c>
    </row>
    <row r="20" spans="1:16" x14ac:dyDescent="0.25">
      <c r="A20" s="5"/>
      <c r="B20" s="5" t="s">
        <v>17</v>
      </c>
      <c r="C20" s="6" t="s">
        <v>2</v>
      </c>
      <c r="D20" s="4" t="s">
        <v>10</v>
      </c>
      <c r="F20" s="9"/>
      <c r="G20" s="9"/>
      <c r="H20" s="12">
        <v>-4</v>
      </c>
      <c r="I20" s="13">
        <v>-3</v>
      </c>
      <c r="J20" s="13">
        <v>-2</v>
      </c>
      <c r="K20" s="13">
        <v>-1</v>
      </c>
      <c r="L20" s="13">
        <v>0</v>
      </c>
      <c r="M20" s="12">
        <v>1</v>
      </c>
      <c r="N20" s="12">
        <v>2</v>
      </c>
      <c r="O20" s="12">
        <v>3</v>
      </c>
      <c r="P20" s="13">
        <v>4</v>
      </c>
    </row>
    <row r="21" spans="1:16" x14ac:dyDescent="0.25">
      <c r="A21" s="5"/>
      <c r="B21" s="5"/>
      <c r="C21" s="6" t="s">
        <v>12</v>
      </c>
      <c r="D21" s="4" t="s">
        <v>13</v>
      </c>
      <c r="F21" s="9"/>
      <c r="G21" s="9"/>
      <c r="H21" s="12">
        <f>-4*P68</f>
        <v>-4000</v>
      </c>
      <c r="I21" s="13">
        <f>-2.75*P68</f>
        <v>-2750</v>
      </c>
      <c r="J21" s="13">
        <f>-1.5*P68</f>
        <v>-1500</v>
      </c>
      <c r="K21" s="13">
        <f>-0.5*P68</f>
        <v>-500</v>
      </c>
      <c r="L21" s="13">
        <f>0*P68</f>
        <v>0</v>
      </c>
      <c r="M21" s="12">
        <f>0.5*P68</f>
        <v>500</v>
      </c>
      <c r="N21" s="12">
        <f>1.5*P68</f>
        <v>1500</v>
      </c>
      <c r="O21" s="12">
        <f>2.75*P68</f>
        <v>2750</v>
      </c>
      <c r="P21" s="13">
        <f>4*P68</f>
        <v>4000</v>
      </c>
    </row>
    <row r="22" spans="1:16" x14ac:dyDescent="0.25">
      <c r="A22" s="5" t="s">
        <v>27</v>
      </c>
      <c r="B22" s="5" t="s">
        <v>16</v>
      </c>
      <c r="C22" s="6"/>
      <c r="E22" s="4" t="s">
        <v>18</v>
      </c>
      <c r="F22" s="9"/>
      <c r="G22" s="9"/>
      <c r="H22" s="14" t="s">
        <v>7</v>
      </c>
      <c r="I22" s="13"/>
      <c r="J22" s="13"/>
      <c r="K22" s="13"/>
      <c r="L22" s="13"/>
      <c r="M22" s="12"/>
      <c r="N22" s="12"/>
      <c r="O22" s="12"/>
      <c r="P22" s="13"/>
    </row>
    <row r="23" spans="1:16" x14ac:dyDescent="0.25">
      <c r="A23" s="5"/>
      <c r="B23" s="5" t="s">
        <v>7</v>
      </c>
      <c r="C23" s="6" t="s">
        <v>8</v>
      </c>
      <c r="D23" s="4" t="s">
        <v>9</v>
      </c>
      <c r="F23" s="9"/>
      <c r="G23" s="9"/>
      <c r="H23" s="10">
        <v>2000</v>
      </c>
      <c r="I23" s="13"/>
      <c r="J23" s="13"/>
      <c r="K23" s="13"/>
    </row>
    <row r="24" spans="1:16" x14ac:dyDescent="0.25">
      <c r="A24" s="5"/>
      <c r="B24" s="5" t="s">
        <v>17</v>
      </c>
      <c r="C24" s="6" t="s">
        <v>14</v>
      </c>
      <c r="D24" s="4" t="s">
        <v>15</v>
      </c>
      <c r="F24" s="9"/>
      <c r="G24" s="9"/>
      <c r="H24" s="12">
        <v>-4</v>
      </c>
      <c r="I24" s="13">
        <v>-3</v>
      </c>
      <c r="J24" s="13">
        <v>-2</v>
      </c>
      <c r="K24" s="13">
        <v>-1</v>
      </c>
      <c r="L24" s="13">
        <v>0</v>
      </c>
      <c r="M24" s="12">
        <v>1</v>
      </c>
      <c r="N24" s="12">
        <v>2</v>
      </c>
      <c r="O24" s="12">
        <v>3</v>
      </c>
      <c r="P24" s="13">
        <v>4</v>
      </c>
    </row>
    <row r="25" spans="1:16" x14ac:dyDescent="0.25">
      <c r="A25" s="5"/>
      <c r="B25" s="5"/>
      <c r="C25" s="6" t="s">
        <v>12</v>
      </c>
      <c r="D25" s="4" t="s">
        <v>13</v>
      </c>
      <c r="F25" s="9"/>
      <c r="G25" s="9"/>
      <c r="H25" s="12">
        <f>-4*P72</f>
        <v>-4000</v>
      </c>
      <c r="I25" s="13">
        <f>-2.75*P72</f>
        <v>-2750</v>
      </c>
      <c r="J25" s="13">
        <f>-1.5*P72</f>
        <v>-1500</v>
      </c>
      <c r="K25" s="13">
        <f>-0.5*P72</f>
        <v>-500</v>
      </c>
      <c r="L25" s="13">
        <f>0*P72</f>
        <v>0</v>
      </c>
      <c r="M25" s="12">
        <f>0.5*P72</f>
        <v>500</v>
      </c>
      <c r="N25" s="12">
        <f>1.5*P72</f>
        <v>1500</v>
      </c>
      <c r="O25" s="12">
        <f>2.75*P72</f>
        <v>2750</v>
      </c>
      <c r="P25" s="13">
        <f>4*P72</f>
        <v>4000</v>
      </c>
    </row>
    <row r="26" spans="1:16" x14ac:dyDescent="0.25">
      <c r="A26" s="6" t="s">
        <v>28</v>
      </c>
      <c r="B26" s="5" t="s">
        <v>16</v>
      </c>
      <c r="C26" s="6"/>
      <c r="E26" s="4" t="s">
        <v>18</v>
      </c>
      <c r="F26" s="9"/>
      <c r="G26" s="9"/>
      <c r="H26" s="14" t="s">
        <v>7</v>
      </c>
      <c r="I26" s="13"/>
      <c r="J26" s="13"/>
      <c r="K26" s="13"/>
      <c r="L26" s="13"/>
      <c r="M26" s="12"/>
      <c r="N26" s="12"/>
      <c r="O26" s="12"/>
      <c r="P26" s="13"/>
    </row>
    <row r="27" spans="1:16" x14ac:dyDescent="0.25">
      <c r="A27" s="5"/>
      <c r="B27" s="5" t="s">
        <v>7</v>
      </c>
      <c r="C27" s="6" t="s">
        <v>11</v>
      </c>
      <c r="D27" s="4" t="s">
        <v>21</v>
      </c>
      <c r="F27" s="9"/>
      <c r="G27" s="9"/>
      <c r="H27" s="10">
        <v>2000</v>
      </c>
    </row>
    <row r="28" spans="1:16" x14ac:dyDescent="0.25">
      <c r="A28" s="5"/>
      <c r="B28" s="5" t="s">
        <v>17</v>
      </c>
      <c r="C28" s="6" t="s">
        <v>2</v>
      </c>
      <c r="D28" s="4" t="s">
        <v>10</v>
      </c>
      <c r="F28" s="9"/>
      <c r="G28" s="9"/>
      <c r="H28" s="12">
        <v>-4</v>
      </c>
      <c r="I28" s="13">
        <v>-3</v>
      </c>
      <c r="J28" s="13">
        <v>-2</v>
      </c>
      <c r="K28" s="13">
        <v>-1</v>
      </c>
      <c r="L28" s="13">
        <v>0</v>
      </c>
      <c r="M28" s="12">
        <v>1</v>
      </c>
      <c r="N28" s="12">
        <v>2</v>
      </c>
      <c r="O28" s="12">
        <v>3</v>
      </c>
      <c r="P28" s="13">
        <v>4</v>
      </c>
    </row>
    <row r="29" spans="1:16" x14ac:dyDescent="0.25">
      <c r="A29" s="5"/>
      <c r="B29" s="5"/>
      <c r="C29" s="6" t="s">
        <v>12</v>
      </c>
      <c r="D29" s="4" t="s">
        <v>13</v>
      </c>
      <c r="F29" s="9"/>
      <c r="G29" s="9"/>
      <c r="H29" s="12">
        <f>-4*P76</f>
        <v>-4000</v>
      </c>
      <c r="I29" s="13">
        <f>-2.75*P76</f>
        <v>-2750</v>
      </c>
      <c r="J29" s="13">
        <f>-1.5*P76</f>
        <v>-1500</v>
      </c>
      <c r="K29" s="13">
        <f>-0.5*P76</f>
        <v>-500</v>
      </c>
      <c r="L29" s="13">
        <f>0*P76</f>
        <v>0</v>
      </c>
      <c r="M29" s="12">
        <f>0.5*P76</f>
        <v>500</v>
      </c>
      <c r="N29" s="12">
        <f>1.5*P76</f>
        <v>1500</v>
      </c>
      <c r="O29" s="12">
        <f>2.75*P76</f>
        <v>2750</v>
      </c>
      <c r="P29" s="13">
        <f>4*P76</f>
        <v>4000</v>
      </c>
    </row>
    <row r="30" spans="1:16" x14ac:dyDescent="0.25">
      <c r="A30" s="5" t="s">
        <v>29</v>
      </c>
      <c r="B30" s="5" t="s">
        <v>16</v>
      </c>
      <c r="C30" s="6"/>
      <c r="E30" s="4" t="s">
        <v>18</v>
      </c>
      <c r="F30" s="9"/>
      <c r="G30" s="9"/>
      <c r="H30" s="14" t="s">
        <v>7</v>
      </c>
      <c r="I30" s="13"/>
      <c r="J30" s="13"/>
      <c r="K30" s="13"/>
      <c r="L30" s="13"/>
      <c r="M30" s="12"/>
      <c r="N30" s="12"/>
      <c r="O30" s="12"/>
      <c r="P30" s="13"/>
    </row>
    <row r="31" spans="1:16" x14ac:dyDescent="0.25">
      <c r="A31" s="5"/>
      <c r="B31" s="5" t="s">
        <v>7</v>
      </c>
      <c r="C31" s="6" t="s">
        <v>8</v>
      </c>
      <c r="D31" s="4" t="s">
        <v>9</v>
      </c>
      <c r="F31" s="9"/>
      <c r="G31" s="9"/>
      <c r="H31" s="10">
        <v>2000</v>
      </c>
      <c r="I31" s="13"/>
      <c r="J31" s="13"/>
      <c r="K31" s="13"/>
    </row>
    <row r="32" spans="1:16" x14ac:dyDescent="0.25">
      <c r="A32" s="5"/>
      <c r="B32" s="5" t="s">
        <v>17</v>
      </c>
      <c r="C32" s="6" t="s">
        <v>14</v>
      </c>
      <c r="D32" s="4" t="s">
        <v>15</v>
      </c>
      <c r="F32" s="9"/>
      <c r="G32" s="9"/>
      <c r="H32" s="12">
        <v>-4</v>
      </c>
      <c r="I32" s="13">
        <v>-3</v>
      </c>
      <c r="J32" s="13">
        <v>-2</v>
      </c>
      <c r="K32" s="13">
        <v>-1</v>
      </c>
      <c r="L32" s="13">
        <v>0</v>
      </c>
      <c r="M32" s="12">
        <v>1</v>
      </c>
      <c r="N32" s="12">
        <v>2</v>
      </c>
      <c r="O32" s="12">
        <v>3</v>
      </c>
      <c r="P32" s="13">
        <v>4</v>
      </c>
    </row>
    <row r="33" spans="1:16" x14ac:dyDescent="0.25">
      <c r="A33" s="5"/>
      <c r="B33" s="5"/>
      <c r="C33" s="6" t="s">
        <v>12</v>
      </c>
      <c r="D33" s="4" t="s">
        <v>13</v>
      </c>
      <c r="F33" s="9"/>
      <c r="G33" s="9"/>
      <c r="H33" s="12">
        <f>-4*P80</f>
        <v>-4000</v>
      </c>
      <c r="I33" s="13">
        <f>-2.75*P80</f>
        <v>-2750</v>
      </c>
      <c r="J33" s="13">
        <f>-1.5*P80</f>
        <v>-1500</v>
      </c>
      <c r="K33" s="13">
        <f>-0.5*P80</f>
        <v>-500</v>
      </c>
      <c r="L33" s="13">
        <f>0*P80</f>
        <v>0</v>
      </c>
      <c r="M33" s="12">
        <f>0.5*P80</f>
        <v>500</v>
      </c>
      <c r="N33" s="12">
        <f>1.5*P80</f>
        <v>1500</v>
      </c>
      <c r="O33" s="12">
        <f>2.75*P80</f>
        <v>2750</v>
      </c>
      <c r="P33" s="13">
        <f>4*P80</f>
        <v>4000</v>
      </c>
    </row>
    <row r="34" spans="1:16" x14ac:dyDescent="0.25">
      <c r="A34" s="5" t="s">
        <v>30</v>
      </c>
      <c r="B34" s="6" t="s">
        <v>16</v>
      </c>
      <c r="C34" s="6"/>
      <c r="E34" s="4" t="s">
        <v>18</v>
      </c>
      <c r="H34" s="14" t="s">
        <v>7</v>
      </c>
    </row>
    <row r="35" spans="1:16" x14ac:dyDescent="0.25">
      <c r="A35" s="5"/>
      <c r="B35" s="5" t="s">
        <v>7</v>
      </c>
      <c r="C35" s="6" t="s">
        <v>11</v>
      </c>
      <c r="D35" s="4" t="s">
        <v>21</v>
      </c>
      <c r="F35" s="9"/>
      <c r="G35" s="9"/>
      <c r="H35" s="10">
        <v>2000</v>
      </c>
    </row>
    <row r="36" spans="1:16" x14ac:dyDescent="0.25">
      <c r="A36" s="5"/>
      <c r="B36" s="5" t="s">
        <v>17</v>
      </c>
      <c r="C36" s="6" t="s">
        <v>2</v>
      </c>
      <c r="D36" s="4" t="s">
        <v>10</v>
      </c>
      <c r="F36" s="9"/>
      <c r="G36" s="9"/>
      <c r="H36" s="12">
        <v>-4</v>
      </c>
      <c r="I36" s="13">
        <v>-3</v>
      </c>
      <c r="J36" s="13">
        <v>-2</v>
      </c>
      <c r="K36" s="13">
        <v>-1</v>
      </c>
      <c r="L36" s="13">
        <v>0</v>
      </c>
      <c r="M36" s="12">
        <v>1</v>
      </c>
      <c r="N36" s="12">
        <v>2</v>
      </c>
      <c r="O36" s="12">
        <v>3</v>
      </c>
      <c r="P36" s="13">
        <v>4</v>
      </c>
    </row>
    <row r="37" spans="1:16" x14ac:dyDescent="0.25">
      <c r="A37" s="5"/>
      <c r="B37" s="5"/>
      <c r="C37" s="6" t="s">
        <v>12</v>
      </c>
      <c r="D37" s="4" t="s">
        <v>13</v>
      </c>
      <c r="F37" s="9"/>
      <c r="G37" s="9"/>
      <c r="H37" s="12">
        <f>-4*P84</f>
        <v>-4000</v>
      </c>
      <c r="I37" s="13">
        <f>-2.75*P84</f>
        <v>-2750</v>
      </c>
      <c r="J37" s="13">
        <f>-1.5*P84</f>
        <v>-1500</v>
      </c>
      <c r="K37" s="13">
        <f>-0.5*P84</f>
        <v>-500</v>
      </c>
      <c r="L37" s="13">
        <f>0*P84</f>
        <v>0</v>
      </c>
      <c r="M37" s="12">
        <f>0.5*P84</f>
        <v>500</v>
      </c>
      <c r="N37" s="12">
        <f>1.5*P84</f>
        <v>1500</v>
      </c>
      <c r="O37" s="12">
        <f>2.75*P84</f>
        <v>2750</v>
      </c>
      <c r="P37" s="13">
        <f>4*P84</f>
        <v>4000</v>
      </c>
    </row>
    <row r="38" spans="1:16" x14ac:dyDescent="0.25">
      <c r="A38" s="5" t="s">
        <v>31</v>
      </c>
      <c r="B38" s="6" t="s">
        <v>16</v>
      </c>
      <c r="C38" s="6"/>
      <c r="E38" s="4" t="s">
        <v>18</v>
      </c>
      <c r="H38" s="14" t="s">
        <v>7</v>
      </c>
      <c r="I38" s="13"/>
      <c r="J38" s="13"/>
      <c r="K38" s="13"/>
    </row>
    <row r="39" spans="1:16" x14ac:dyDescent="0.25">
      <c r="A39" s="5"/>
      <c r="B39" s="5" t="s">
        <v>7</v>
      </c>
      <c r="C39" s="6" t="s">
        <v>8</v>
      </c>
      <c r="D39" s="4" t="s">
        <v>9</v>
      </c>
      <c r="F39" s="9"/>
      <c r="G39" s="9"/>
      <c r="H39" s="10">
        <v>2000</v>
      </c>
      <c r="I39" s="13"/>
      <c r="J39" s="13"/>
      <c r="K39" s="13"/>
    </row>
    <row r="40" spans="1:16" x14ac:dyDescent="0.25">
      <c r="A40" s="5"/>
      <c r="B40" s="5" t="s">
        <v>17</v>
      </c>
      <c r="C40" s="6" t="s">
        <v>14</v>
      </c>
      <c r="D40" s="4" t="s">
        <v>15</v>
      </c>
      <c r="F40" s="9"/>
      <c r="G40" s="9"/>
      <c r="H40" s="12">
        <v>-4</v>
      </c>
      <c r="I40" s="13">
        <v>-3</v>
      </c>
      <c r="J40" s="13">
        <v>-2</v>
      </c>
      <c r="K40" s="13">
        <v>-1</v>
      </c>
      <c r="L40" s="13">
        <v>0</v>
      </c>
      <c r="M40" s="12">
        <v>1</v>
      </c>
      <c r="N40" s="12">
        <v>2</v>
      </c>
      <c r="O40" s="12">
        <v>3</v>
      </c>
      <c r="P40" s="13">
        <v>4</v>
      </c>
    </row>
    <row r="41" spans="1:16" x14ac:dyDescent="0.25">
      <c r="A41" s="6"/>
      <c r="B41" s="5"/>
      <c r="C41" s="6" t="s">
        <v>12</v>
      </c>
      <c r="D41" s="4" t="s">
        <v>13</v>
      </c>
      <c r="F41" s="9"/>
      <c r="G41" s="9"/>
      <c r="H41" s="12">
        <f>-4*P88</f>
        <v>-4000</v>
      </c>
      <c r="I41" s="13">
        <f>-2.75*P88</f>
        <v>-2750</v>
      </c>
      <c r="J41" s="13">
        <f>-1.5*P88</f>
        <v>-1500</v>
      </c>
      <c r="K41" s="13">
        <f>-0.5*P88</f>
        <v>-500</v>
      </c>
      <c r="L41" s="13">
        <f>0*P88</f>
        <v>0</v>
      </c>
      <c r="M41" s="12">
        <f>0.5*P88</f>
        <v>500</v>
      </c>
      <c r="N41" s="12">
        <f>1.5*P88</f>
        <v>1500</v>
      </c>
      <c r="O41" s="12">
        <f>2.75*P88</f>
        <v>2750</v>
      </c>
      <c r="P41" s="13">
        <f>4*P88</f>
        <v>4000</v>
      </c>
    </row>
    <row r="42" spans="1:16" x14ac:dyDescent="0.25">
      <c r="A42" s="6" t="s">
        <v>32</v>
      </c>
      <c r="B42" s="5" t="s">
        <v>16</v>
      </c>
      <c r="C42" s="6"/>
      <c r="E42" s="4" t="s">
        <v>18</v>
      </c>
      <c r="F42" s="9"/>
      <c r="G42" s="9"/>
      <c r="H42" s="14" t="s">
        <v>7</v>
      </c>
      <c r="I42" s="13"/>
      <c r="J42" s="13"/>
      <c r="K42" s="13"/>
      <c r="L42" s="13"/>
      <c r="M42" s="12"/>
      <c r="N42" s="12"/>
      <c r="O42" s="12"/>
      <c r="P42" s="13"/>
    </row>
    <row r="43" spans="1:16" x14ac:dyDescent="0.25">
      <c r="A43" s="5"/>
      <c r="B43" s="5" t="s">
        <v>7</v>
      </c>
      <c r="C43" s="6" t="s">
        <v>11</v>
      </c>
      <c r="D43" s="4" t="s">
        <v>21</v>
      </c>
      <c r="F43" s="9"/>
      <c r="G43" s="9"/>
      <c r="H43" s="10">
        <v>2000</v>
      </c>
    </row>
    <row r="44" spans="1:16" x14ac:dyDescent="0.25">
      <c r="A44" s="5"/>
      <c r="B44" s="5" t="s">
        <v>17</v>
      </c>
      <c r="C44" s="6" t="s">
        <v>2</v>
      </c>
      <c r="D44" s="4" t="s">
        <v>10</v>
      </c>
      <c r="F44" s="9"/>
      <c r="G44" s="9"/>
      <c r="H44" s="12">
        <v>-4</v>
      </c>
      <c r="I44" s="13">
        <v>-3</v>
      </c>
      <c r="J44" s="13">
        <v>-2</v>
      </c>
      <c r="K44" s="13">
        <v>-1</v>
      </c>
      <c r="L44" s="13">
        <v>0</v>
      </c>
      <c r="M44" s="12">
        <v>1</v>
      </c>
      <c r="N44" s="12">
        <v>2</v>
      </c>
      <c r="O44" s="12">
        <v>3</v>
      </c>
      <c r="P44" s="13">
        <v>4</v>
      </c>
    </row>
    <row r="45" spans="1:16" x14ac:dyDescent="0.25">
      <c r="A45" s="5"/>
      <c r="B45" s="5"/>
      <c r="C45" s="6" t="s">
        <v>12</v>
      </c>
      <c r="D45" s="4" t="s">
        <v>13</v>
      </c>
      <c r="F45" s="9"/>
      <c r="G45" s="9"/>
      <c r="H45" s="12">
        <f>-4*P92</f>
        <v>-4000</v>
      </c>
      <c r="I45" s="13">
        <f>-2.75*P92</f>
        <v>-2750</v>
      </c>
      <c r="J45" s="13">
        <f>-1.5*P92</f>
        <v>-1500</v>
      </c>
      <c r="K45" s="13">
        <f>-0.5*P92</f>
        <v>-500</v>
      </c>
      <c r="L45" s="13">
        <f>0*P92</f>
        <v>0</v>
      </c>
      <c r="M45" s="12">
        <f>0.5*P92</f>
        <v>500</v>
      </c>
      <c r="N45" s="12">
        <f>1.5*P92</f>
        <v>1500</v>
      </c>
      <c r="O45" s="12">
        <f>2.75*P92</f>
        <v>2750</v>
      </c>
      <c r="P45" s="13">
        <f>4*P92</f>
        <v>4000</v>
      </c>
    </row>
    <row r="46" spans="1:16" x14ac:dyDescent="0.25">
      <c r="A46" s="5" t="s">
        <v>33</v>
      </c>
      <c r="B46" s="5" t="s">
        <v>16</v>
      </c>
      <c r="C46" s="6"/>
      <c r="E46" s="4" t="s">
        <v>18</v>
      </c>
      <c r="F46" s="9"/>
      <c r="G46" s="9"/>
      <c r="H46" s="14" t="s">
        <v>7</v>
      </c>
      <c r="I46" s="13"/>
      <c r="J46" s="13"/>
      <c r="K46" s="13"/>
      <c r="L46" s="13"/>
      <c r="M46" s="12"/>
      <c r="N46" s="12"/>
      <c r="O46" s="12"/>
      <c r="P46" s="13"/>
    </row>
    <row r="47" spans="1:16" x14ac:dyDescent="0.25">
      <c r="A47" s="5"/>
      <c r="B47" s="5" t="s">
        <v>7</v>
      </c>
      <c r="C47" s="6" t="s">
        <v>8</v>
      </c>
      <c r="D47" s="4" t="s">
        <v>9</v>
      </c>
      <c r="F47" s="9"/>
      <c r="G47" s="9"/>
      <c r="H47" s="10">
        <v>2000</v>
      </c>
      <c r="I47" s="13"/>
      <c r="J47" s="13"/>
      <c r="K47" s="13"/>
    </row>
    <row r="48" spans="1:16" x14ac:dyDescent="0.25">
      <c r="A48" s="5"/>
      <c r="B48" s="5" t="s">
        <v>17</v>
      </c>
      <c r="C48" s="6" t="s">
        <v>14</v>
      </c>
      <c r="D48" s="4" t="s">
        <v>15</v>
      </c>
      <c r="F48" s="9"/>
      <c r="G48" s="9"/>
      <c r="H48" s="12">
        <v>-4</v>
      </c>
      <c r="I48" s="13">
        <v>-3</v>
      </c>
      <c r="J48" s="13">
        <v>-2</v>
      </c>
      <c r="K48" s="13">
        <v>-1</v>
      </c>
      <c r="L48" s="13">
        <v>0</v>
      </c>
      <c r="M48" s="12">
        <v>1</v>
      </c>
      <c r="N48" s="12">
        <v>2</v>
      </c>
      <c r="O48" s="12">
        <v>3</v>
      </c>
      <c r="P48" s="13">
        <v>4</v>
      </c>
    </row>
    <row r="49" spans="1:16" x14ac:dyDescent="0.25">
      <c r="A49" s="5"/>
      <c r="B49" s="5"/>
      <c r="C49" s="6" t="s">
        <v>12</v>
      </c>
      <c r="D49" s="4" t="s">
        <v>13</v>
      </c>
      <c r="F49" s="9"/>
      <c r="G49" s="9"/>
      <c r="H49" s="12">
        <f>-4*P96</f>
        <v>-4000</v>
      </c>
      <c r="I49" s="13">
        <f>-2.75*P96</f>
        <v>-2750</v>
      </c>
      <c r="J49" s="13">
        <f>-1.5*P96</f>
        <v>-1500</v>
      </c>
      <c r="K49" s="13">
        <f>-0.5*P96</f>
        <v>-500</v>
      </c>
      <c r="L49" s="13">
        <f>0*P96</f>
        <v>0</v>
      </c>
      <c r="M49" s="12">
        <f>0.5*P96</f>
        <v>500</v>
      </c>
      <c r="N49" s="12">
        <f>1.5*P96</f>
        <v>1500</v>
      </c>
      <c r="O49" s="12">
        <f>2.75*P96</f>
        <v>2750</v>
      </c>
      <c r="P49" s="13">
        <f>4*P96</f>
        <v>4000</v>
      </c>
    </row>
    <row r="50" spans="1:16" x14ac:dyDescent="0.25">
      <c r="A50" s="6" t="s">
        <v>34</v>
      </c>
      <c r="B50" s="5" t="s">
        <v>16</v>
      </c>
      <c r="C50" s="6"/>
      <c r="E50" s="4" t="s">
        <v>18</v>
      </c>
      <c r="F50" s="9"/>
      <c r="G50" s="9"/>
      <c r="H50" s="14" t="s">
        <v>7</v>
      </c>
      <c r="I50" s="13"/>
      <c r="J50" s="13"/>
      <c r="K50" s="13"/>
      <c r="L50" s="13"/>
      <c r="M50" s="12"/>
      <c r="N50" s="12"/>
      <c r="O50" s="12"/>
      <c r="P50" s="13"/>
    </row>
    <row r="51" spans="1:16" x14ac:dyDescent="0.25">
      <c r="A51" s="5"/>
      <c r="B51" s="5" t="s">
        <v>7</v>
      </c>
      <c r="C51" s="6" t="s">
        <v>11</v>
      </c>
      <c r="D51" s="4" t="s">
        <v>21</v>
      </c>
      <c r="F51" s="9"/>
      <c r="G51" s="9"/>
      <c r="H51" s="10">
        <v>2000</v>
      </c>
    </row>
    <row r="52" spans="1:16" x14ac:dyDescent="0.25">
      <c r="A52" s="5"/>
      <c r="B52" s="5" t="s">
        <v>17</v>
      </c>
      <c r="C52" s="6" t="s">
        <v>2</v>
      </c>
      <c r="D52" s="4" t="s">
        <v>10</v>
      </c>
      <c r="F52" s="9"/>
      <c r="G52" s="9"/>
      <c r="H52" s="12">
        <v>-4</v>
      </c>
      <c r="I52" s="13">
        <v>-3</v>
      </c>
      <c r="J52" s="13">
        <v>-2</v>
      </c>
      <c r="K52" s="13">
        <v>-1</v>
      </c>
      <c r="L52" s="13">
        <v>0</v>
      </c>
      <c r="M52" s="12">
        <v>1</v>
      </c>
      <c r="N52" s="12">
        <v>2</v>
      </c>
      <c r="O52" s="12">
        <v>3</v>
      </c>
      <c r="P52" s="13">
        <v>4</v>
      </c>
    </row>
    <row r="53" spans="1:16" x14ac:dyDescent="0.25">
      <c r="A53" s="5"/>
      <c r="B53" s="5"/>
      <c r="C53" s="6" t="s">
        <v>12</v>
      </c>
      <c r="D53" s="4" t="s">
        <v>13</v>
      </c>
      <c r="F53" s="9"/>
      <c r="G53" s="9"/>
      <c r="H53" s="12">
        <f>-4*P100</f>
        <v>-4000</v>
      </c>
      <c r="I53" s="13">
        <f>-2.75*P100</f>
        <v>-2750</v>
      </c>
      <c r="J53" s="13">
        <f>-1.5*P100</f>
        <v>-1500</v>
      </c>
      <c r="K53" s="13">
        <f>-0.5*P100</f>
        <v>-500</v>
      </c>
      <c r="L53" s="13">
        <f>0*P100</f>
        <v>0</v>
      </c>
      <c r="M53" s="12">
        <f>0.5*P100</f>
        <v>500</v>
      </c>
      <c r="N53" s="12">
        <f>1.5*P100</f>
        <v>1500</v>
      </c>
      <c r="O53" s="12">
        <f>2.75*P100</f>
        <v>2750</v>
      </c>
      <c r="P53" s="13">
        <f>4*P100</f>
        <v>4000</v>
      </c>
    </row>
    <row r="54" spans="1:16" x14ac:dyDescent="0.25">
      <c r="A54" s="5" t="s">
        <v>35</v>
      </c>
      <c r="B54" s="5" t="s">
        <v>16</v>
      </c>
      <c r="C54" s="6"/>
      <c r="E54" s="4" t="s">
        <v>18</v>
      </c>
      <c r="F54" s="9"/>
      <c r="G54" s="9"/>
      <c r="H54" s="14" t="s">
        <v>7</v>
      </c>
      <c r="I54" s="13"/>
      <c r="J54" s="13"/>
      <c r="K54" s="13"/>
      <c r="L54" s="13"/>
      <c r="M54" s="12"/>
      <c r="N54" s="12"/>
      <c r="O54" s="12"/>
      <c r="P54" s="13"/>
    </row>
    <row r="55" spans="1:16" x14ac:dyDescent="0.25">
      <c r="A55" s="5"/>
      <c r="B55" s="5" t="s">
        <v>7</v>
      </c>
      <c r="C55" s="6" t="s">
        <v>8</v>
      </c>
      <c r="D55" s="4" t="s">
        <v>9</v>
      </c>
      <c r="F55" s="9"/>
      <c r="G55" s="9"/>
      <c r="H55" s="10">
        <v>2000</v>
      </c>
      <c r="I55" s="13"/>
      <c r="J55" s="13"/>
      <c r="K55" s="13"/>
    </row>
    <row r="56" spans="1:16" x14ac:dyDescent="0.25">
      <c r="A56" s="5"/>
      <c r="B56" s="5" t="s">
        <v>17</v>
      </c>
      <c r="C56" s="6" t="s">
        <v>14</v>
      </c>
      <c r="D56" s="4" t="s">
        <v>15</v>
      </c>
      <c r="F56" s="9"/>
      <c r="G56" s="9"/>
      <c r="H56" s="12">
        <v>-4</v>
      </c>
      <c r="I56" s="13">
        <v>-3</v>
      </c>
      <c r="J56" s="13">
        <v>-2</v>
      </c>
      <c r="K56" s="13">
        <v>-1</v>
      </c>
      <c r="L56" s="13">
        <v>0</v>
      </c>
      <c r="M56" s="12">
        <v>1</v>
      </c>
      <c r="N56" s="12">
        <v>2</v>
      </c>
      <c r="O56" s="12">
        <v>3</v>
      </c>
      <c r="P56" s="13">
        <v>4</v>
      </c>
    </row>
    <row r="57" spans="1:16" x14ac:dyDescent="0.25">
      <c r="A57" s="5"/>
      <c r="B57" s="5"/>
      <c r="C57" s="6" t="s">
        <v>12</v>
      </c>
      <c r="D57" s="4" t="s">
        <v>13</v>
      </c>
      <c r="F57" s="9"/>
      <c r="G57" s="9"/>
      <c r="H57" s="12">
        <f>-4*P104</f>
        <v>-4000</v>
      </c>
      <c r="I57" s="13">
        <f>-2.75*P104</f>
        <v>-2750</v>
      </c>
      <c r="J57" s="13">
        <f>-1.5*P104</f>
        <v>-1500</v>
      </c>
      <c r="K57" s="13">
        <f>-0.5*P104</f>
        <v>-500</v>
      </c>
      <c r="L57" s="13">
        <f>0*P104</f>
        <v>0</v>
      </c>
      <c r="M57" s="12">
        <f>0.5*P104</f>
        <v>500</v>
      </c>
      <c r="N57" s="12">
        <f>1.5*P104</f>
        <v>1500</v>
      </c>
      <c r="O57" s="12">
        <f>2.75*P104</f>
        <v>2750</v>
      </c>
      <c r="P57" s="13">
        <f>4*P104</f>
        <v>4000</v>
      </c>
    </row>
    <row r="60" spans="1:16" x14ac:dyDescent="0.25">
      <c r="P60" s="4">
        <v>1000</v>
      </c>
    </row>
    <row r="64" spans="1:16" x14ac:dyDescent="0.25">
      <c r="P64" s="4">
        <v>1000</v>
      </c>
    </row>
    <row r="68" spans="16:16" x14ac:dyDescent="0.25">
      <c r="P68" s="4">
        <v>1000</v>
      </c>
    </row>
    <row r="72" spans="16:16" x14ac:dyDescent="0.25">
      <c r="P72" s="4">
        <v>1000</v>
      </c>
    </row>
    <row r="76" spans="16:16" x14ac:dyDescent="0.25">
      <c r="P76" s="4">
        <v>1000</v>
      </c>
    </row>
    <row r="80" spans="16:16" x14ac:dyDescent="0.25">
      <c r="P80" s="4">
        <v>1000</v>
      </c>
    </row>
    <row r="84" spans="16:16" x14ac:dyDescent="0.25">
      <c r="P84" s="4">
        <v>1000</v>
      </c>
    </row>
    <row r="88" spans="16:16" x14ac:dyDescent="0.25">
      <c r="P88" s="4">
        <v>1000</v>
      </c>
    </row>
    <row r="92" spans="16:16" x14ac:dyDescent="0.25">
      <c r="P92" s="4">
        <v>1000</v>
      </c>
    </row>
    <row r="96" spans="16:16" x14ac:dyDescent="0.25">
      <c r="P96" s="4">
        <v>1000</v>
      </c>
    </row>
    <row r="100" spans="16:16" x14ac:dyDescent="0.25">
      <c r="P100" s="4">
        <v>1000</v>
      </c>
    </row>
    <row r="104" spans="16:16" x14ac:dyDescent="0.25">
      <c r="P104" s="4">
        <v>1000</v>
      </c>
    </row>
  </sheetData>
  <conditionalFormatting sqref="B11:C13 B15:C33 A24 A32">
    <cfRule type="cellIs" dxfId="1" priority="2" operator="equal">
      <formula>"class"</formula>
    </cfRule>
  </conditionalFormatting>
  <conditionalFormatting sqref="B35:C37 B39:C57 A48 A56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BushArm_Ax3_SedanLG_UA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2025-11-08T18:25:25Z</dcterms:modified>
</cp:coreProperties>
</file>