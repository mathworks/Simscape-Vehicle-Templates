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Linkage\Link5_S2LAC_AU\"/>
    </mc:Choice>
  </mc:AlternateContent>
  <xr:revisionPtr revIDLastSave="0" documentId="13_ncr:1_{04D567D0-C894-4023-8A37-0987EE77D9C5}" xr6:coauthVersionLast="47" xr6:coauthVersionMax="47" xr10:uidLastSave="{00000000-0000-0000-0000-000000000000}"/>
  <bookViews>
    <workbookView xWindow="915" yWindow="2670" windowWidth="25485" windowHeight="11295" tabRatio="774" xr2:uid="{48D06346-6904-4E22-A3AD-44252B9780B0}"/>
  </bookViews>
  <sheets>
    <sheet name="Sedan_Hamba_f" sheetId="5" r:id="rId1"/>
    <sheet name="Sedan_Hamba_r" sheetId="6" r:id="rId2"/>
    <sheet name="Sedan_HambaLG_f" sheetId="3" r:id="rId3"/>
    <sheet name="Sedan_HambaLG_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6" l="1"/>
  <c r="F29" i="6"/>
  <c r="H19" i="6"/>
  <c r="H16" i="6"/>
  <c r="H7" i="6"/>
  <c r="F30" i="5"/>
  <c r="F29" i="5"/>
  <c r="H19" i="5"/>
  <c r="H16" i="5"/>
  <c r="H7" i="5"/>
  <c r="J12" i="4" l="1"/>
  <c r="J9" i="4"/>
  <c r="J6" i="4"/>
  <c r="F6" i="4"/>
  <c r="F15" i="3"/>
  <c r="F18" i="3"/>
  <c r="F9" i="4"/>
  <c r="H19" i="4"/>
  <c r="H16" i="4"/>
  <c r="H19" i="3" l="1"/>
  <c r="H16" i="3"/>
</calcChain>
</file>

<file path=xl/sharedStrings.xml><?xml version="1.0" encoding="utf-8"?>
<sst xmlns="http://schemas.openxmlformats.org/spreadsheetml/2006/main" count="480" uniqueCount="58">
  <si>
    <t>Units</t>
  </si>
  <si>
    <t>Comments</t>
  </si>
  <si>
    <t>x</t>
  </si>
  <si>
    <t>y</t>
  </si>
  <si>
    <t>z or scalar</t>
  </si>
  <si>
    <t>Type</t>
  </si>
  <si>
    <t>Linkage</t>
  </si>
  <si>
    <t>Instance</t>
  </si>
  <si>
    <t>class</t>
  </si>
  <si>
    <t>LowerArmF</t>
  </si>
  <si>
    <t>sInboard</t>
  </si>
  <si>
    <t>m</t>
  </si>
  <si>
    <t>sOutboard</t>
  </si>
  <si>
    <t>kg</t>
  </si>
  <si>
    <t>LowerArmR</t>
  </si>
  <si>
    <t>UpperArmF</t>
  </si>
  <si>
    <t>UpperArmR</t>
  </si>
  <si>
    <t>Upright</t>
  </si>
  <si>
    <t>sCG</t>
  </si>
  <si>
    <t>sWheelCentre</t>
  </si>
  <si>
    <t>aToe</t>
  </si>
  <si>
    <t>deg</t>
  </si>
  <si>
    <t>aCamber</t>
  </si>
  <si>
    <t>xAxle</t>
  </si>
  <si>
    <t>Axle length</t>
  </si>
  <si>
    <t>xWCtoBearing</t>
  </si>
  <si>
    <t>Wheel Center to Bearing</t>
  </si>
  <si>
    <t>mAxle</t>
  </si>
  <si>
    <t>Shock</t>
  </si>
  <si>
    <t>sTop</t>
  </si>
  <si>
    <t>sBottom</t>
  </si>
  <si>
    <t>mPiston</t>
  </si>
  <si>
    <t>mCylinder</t>
  </si>
  <si>
    <t>Endstop</t>
  </si>
  <si>
    <t>xMax</t>
  </si>
  <si>
    <t>xMin</t>
  </si>
  <si>
    <t>UpperArmF to Subframe</t>
  </si>
  <si>
    <t>LowerArmF to Subframe</t>
  </si>
  <si>
    <t>UpperArmR to Subframe</t>
  </si>
  <si>
    <t>LowerArmR to Subframe</t>
  </si>
  <si>
    <t>Rigid_UJ</t>
  </si>
  <si>
    <t>Must be consistent with values in Spring, Damper</t>
  </si>
  <si>
    <t>Must be consistent with value in Dampers</t>
  </si>
  <si>
    <t>sARB</t>
  </si>
  <si>
    <t>LowerArmC</t>
  </si>
  <si>
    <t>Must be same as AntiRollBar.sSuspension for attachment to Upright</t>
  </si>
  <si>
    <t>LowerArmC to Subframe</t>
  </si>
  <si>
    <t>LowerArmR to Upright</t>
  </si>
  <si>
    <t>Rigid_Gimbal</t>
  </si>
  <si>
    <t>FiveLinkShockCenterAUNoSteer</t>
  </si>
  <si>
    <t>FiveLinkShockCenterAUNoSteer_Sedan_HambaLG_r</t>
  </si>
  <si>
    <t>FiveLinkShockCenterAUNoSteer_Sedan_HambaLG_f</t>
  </si>
  <si>
    <t>FiveLinkShockCenterAUNoSteer_Sedan_Hamba_r</t>
  </si>
  <si>
    <t>FiveLinkShockCenterAUNoSteer_Sedan_Hamba_f</t>
  </si>
  <si>
    <t>LowerArmF to Upright</t>
  </si>
  <si>
    <t>LowerArmC to Upright</t>
  </si>
  <si>
    <t>UpperArmR to Upright</t>
  </si>
  <si>
    <t>UpperArmF to Upright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</si>
</sst>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0" fontId="2" fillId="0" borderId="0" xfId="0" applyFont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0" fontId="0" fillId="4" borderId="0" xfId="0" applyFill="1" applyAlignment="1">
      <alignment horizontal="right"/>
    </xf>
    <xf numFmtId="2" fontId="2" fillId="6" borderId="0" xfId="0" applyNumberFormat="1" applyFont="1" applyFill="1"/>
    <xf numFmtId="2" fontId="2" fillId="5" borderId="0" xfId="0" applyNumberFormat="1" applyFont="1" applyFill="1"/>
    <xf numFmtId="164" fontId="2" fillId="5" borderId="0" xfId="0" applyNumberFormat="1" applyFont="1" applyFill="1"/>
    <xf numFmtId="2" fontId="2" fillId="7" borderId="0" xfId="0" applyNumberFormat="1" applyFont="1" applyFill="1"/>
    <xf numFmtId="0" fontId="0" fillId="7" borderId="0" xfId="0" applyFill="1"/>
    <xf numFmtId="165" fontId="2" fillId="0" borderId="0" xfId="0" applyNumberFormat="1" applyFont="1"/>
  </cellXfs>
  <cellStyles count="1">
    <cellStyle name="Normal" xfId="0" builtinId="0"/>
  </cellStyles>
  <dxfs count="30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8750-7CDB-4033-BE82-0503B2A7FAEB}">
  <sheetPr>
    <tabColor theme="8" tint="-0.249977111117893"/>
  </sheetPr>
  <dimension ref="A1:P44"/>
  <sheetViews>
    <sheetView tabSelected="1" workbookViewId="0">
      <pane xSplit="3" ySplit="1" topLeftCell="D23" activePane="bottomRight" state="frozen"/>
      <selection activeCell="M30" sqref="M30"/>
      <selection pane="topRight" activeCell="M30" sqref="M30"/>
      <selection pane="bottomLeft" activeCell="M30" sqref="M30"/>
      <selection pane="bottomRight" activeCell="A48" sqref="A48"/>
    </sheetView>
  </sheetViews>
  <sheetFormatPr defaultRowHeight="15" x14ac:dyDescent="0.25"/>
  <cols>
    <col min="1" max="1" width="24.85546875" style="15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8" x14ac:dyDescent="0.25">
      <c r="A3" s="4" t="s">
        <v>7</v>
      </c>
      <c r="B3" s="5"/>
      <c r="C3" s="5"/>
      <c r="F3" s="6"/>
      <c r="G3" s="6"/>
      <c r="H3" s="7" t="s">
        <v>53</v>
      </c>
    </row>
    <row r="4" spans="1:8" x14ac:dyDescent="0.25">
      <c r="A4" s="8" t="s">
        <v>8</v>
      </c>
      <c r="B4" s="9"/>
      <c r="C4" s="9"/>
      <c r="D4" s="9"/>
      <c r="E4" s="9"/>
      <c r="F4" s="10"/>
      <c r="G4" s="10"/>
      <c r="H4" s="11" t="s">
        <v>49</v>
      </c>
    </row>
    <row r="5" spans="1:8" x14ac:dyDescent="0.25">
      <c r="A5" s="4" t="s">
        <v>9</v>
      </c>
      <c r="B5" s="5" t="s">
        <v>10</v>
      </c>
      <c r="C5" s="5"/>
      <c r="D5" t="s">
        <v>11</v>
      </c>
      <c r="F5" s="6">
        <v>0.22500000000000001</v>
      </c>
      <c r="G5" s="6">
        <v>0.30599999999999999</v>
      </c>
      <c r="H5" s="6">
        <v>0.15</v>
      </c>
    </row>
    <row r="6" spans="1:8" x14ac:dyDescent="0.25">
      <c r="A6" s="4"/>
      <c r="B6" s="5" t="s">
        <v>12</v>
      </c>
      <c r="C6" s="5"/>
      <c r="D6" t="s">
        <v>11</v>
      </c>
      <c r="F6" s="6">
        <v>0.04</v>
      </c>
      <c r="G6" s="6">
        <v>0.76600000000000001</v>
      </c>
      <c r="H6" s="6">
        <v>0.15</v>
      </c>
    </row>
    <row r="7" spans="1:8" x14ac:dyDescent="0.25">
      <c r="A7" s="4"/>
      <c r="B7" s="5" t="s">
        <v>11</v>
      </c>
      <c r="C7" s="5"/>
      <c r="D7" t="s">
        <v>13</v>
      </c>
      <c r="F7" s="12"/>
      <c r="G7" s="6"/>
      <c r="H7" s="6">
        <f>5.80566/2</f>
        <v>2.9028299999999998</v>
      </c>
    </row>
    <row r="8" spans="1:8" x14ac:dyDescent="0.25">
      <c r="A8" s="4" t="s">
        <v>44</v>
      </c>
      <c r="B8" s="5" t="s">
        <v>10</v>
      </c>
      <c r="C8" s="5"/>
      <c r="D8" t="s">
        <v>11</v>
      </c>
      <c r="F8" s="6">
        <v>7.0000000000000007E-2</v>
      </c>
      <c r="G8" s="6">
        <v>0.30599999999999999</v>
      </c>
      <c r="H8" s="6">
        <v>0.15</v>
      </c>
    </row>
    <row r="9" spans="1:8" x14ac:dyDescent="0.25">
      <c r="A9" s="4"/>
      <c r="B9" s="5" t="s">
        <v>12</v>
      </c>
      <c r="C9" s="5"/>
      <c r="D9" t="s">
        <v>11</v>
      </c>
      <c r="F9" s="6">
        <v>7.0000000000000007E-2</v>
      </c>
      <c r="G9" s="6">
        <v>0.76600000000000001</v>
      </c>
      <c r="H9" s="6">
        <v>0.15</v>
      </c>
    </row>
    <row r="10" spans="1:8" x14ac:dyDescent="0.25">
      <c r="A10" s="4"/>
      <c r="B10" s="5" t="s">
        <v>11</v>
      </c>
      <c r="C10" s="5"/>
      <c r="D10" t="s">
        <v>13</v>
      </c>
      <c r="F10" s="12"/>
      <c r="G10" s="6"/>
      <c r="H10" s="6">
        <v>2.9028299999999998</v>
      </c>
    </row>
    <row r="11" spans="1:8" x14ac:dyDescent="0.25">
      <c r="A11" s="4" t="s">
        <v>14</v>
      </c>
      <c r="B11" s="5" t="s">
        <v>10</v>
      </c>
      <c r="C11" s="5"/>
      <c r="D11" t="s">
        <v>11</v>
      </c>
      <c r="F11" s="6">
        <v>-0.125</v>
      </c>
      <c r="G11" s="6">
        <v>0.30599999999999999</v>
      </c>
      <c r="H11" s="6">
        <v>0.15</v>
      </c>
    </row>
    <row r="12" spans="1:8" x14ac:dyDescent="0.25">
      <c r="A12" s="4"/>
      <c r="B12" s="5" t="s">
        <v>12</v>
      </c>
      <c r="C12" s="5"/>
      <c r="D12" t="s">
        <v>11</v>
      </c>
      <c r="F12" s="6">
        <v>-0.125</v>
      </c>
      <c r="G12" s="6">
        <v>0.76600000000000001</v>
      </c>
      <c r="H12" s="6">
        <v>0.15</v>
      </c>
    </row>
    <row r="13" spans="1:8" x14ac:dyDescent="0.25">
      <c r="A13" s="4"/>
      <c r="B13" s="5" t="s">
        <v>11</v>
      </c>
      <c r="C13" s="5"/>
      <c r="D13" t="s">
        <v>13</v>
      </c>
      <c r="F13" s="12"/>
      <c r="G13" s="6"/>
      <c r="H13" s="6">
        <v>2.9028299999999998</v>
      </c>
    </row>
    <row r="14" spans="1:8" x14ac:dyDescent="0.25">
      <c r="A14" s="4" t="s">
        <v>15</v>
      </c>
      <c r="B14" s="5" t="s">
        <v>10</v>
      </c>
      <c r="C14" s="5"/>
      <c r="D14" t="s">
        <v>11</v>
      </c>
      <c r="F14" s="6">
        <v>0.1</v>
      </c>
      <c r="G14" s="6">
        <v>0.45100000000000001</v>
      </c>
      <c r="H14" s="6">
        <v>0.43</v>
      </c>
    </row>
    <row r="15" spans="1:8" x14ac:dyDescent="0.25">
      <c r="A15" s="4"/>
      <c r="B15" s="5" t="s">
        <v>12</v>
      </c>
      <c r="C15" s="5"/>
      <c r="D15" t="s">
        <v>11</v>
      </c>
      <c r="F15" s="6">
        <v>-0.02</v>
      </c>
      <c r="G15" s="6">
        <v>0.68720000000000003</v>
      </c>
      <c r="H15" s="6">
        <v>0.45</v>
      </c>
    </row>
    <row r="16" spans="1:8" x14ac:dyDescent="0.25">
      <c r="A16" s="4"/>
      <c r="B16" s="5" t="s">
        <v>11</v>
      </c>
      <c r="C16" s="5"/>
      <c r="D16" t="s">
        <v>13</v>
      </c>
      <c r="F16" s="6"/>
      <c r="G16" s="6"/>
      <c r="H16" s="6">
        <f>5.27788/2</f>
        <v>2.6389399999999998</v>
      </c>
    </row>
    <row r="17" spans="1:16" x14ac:dyDescent="0.25">
      <c r="A17" s="4" t="s">
        <v>16</v>
      </c>
      <c r="B17" s="5" t="s">
        <v>10</v>
      </c>
      <c r="C17" s="5"/>
      <c r="D17" t="s">
        <v>11</v>
      </c>
      <c r="F17" s="6">
        <v>-0.105</v>
      </c>
      <c r="G17" s="6">
        <v>0.45100000000000001</v>
      </c>
      <c r="H17" s="6">
        <v>0.41</v>
      </c>
    </row>
    <row r="18" spans="1:16" x14ac:dyDescent="0.25">
      <c r="A18" s="4"/>
      <c r="B18" s="5" t="s">
        <v>12</v>
      </c>
      <c r="C18" s="5"/>
      <c r="D18" t="s">
        <v>11</v>
      </c>
      <c r="F18" s="6">
        <v>-0.105</v>
      </c>
      <c r="G18" s="6">
        <v>0.68720000000000003</v>
      </c>
      <c r="H18" s="6">
        <v>0.45</v>
      </c>
    </row>
    <row r="19" spans="1:16" x14ac:dyDescent="0.25">
      <c r="A19" s="4"/>
      <c r="B19" s="5" t="s">
        <v>11</v>
      </c>
      <c r="C19" s="5"/>
      <c r="D19" t="s">
        <v>13</v>
      </c>
      <c r="F19" s="6"/>
      <c r="G19" s="6"/>
      <c r="H19" s="6">
        <f>5.27788/2</f>
        <v>2.6389399999999998</v>
      </c>
    </row>
    <row r="20" spans="1:16" x14ac:dyDescent="0.25">
      <c r="A20" s="4" t="s">
        <v>17</v>
      </c>
      <c r="B20" s="5" t="s">
        <v>18</v>
      </c>
      <c r="C20" s="5"/>
      <c r="D20" t="s">
        <v>11</v>
      </c>
      <c r="F20" s="6">
        <v>0</v>
      </c>
      <c r="G20" s="6">
        <v>0.73</v>
      </c>
      <c r="H20" s="6">
        <v>0.33</v>
      </c>
    </row>
    <row r="21" spans="1:16" x14ac:dyDescent="0.25">
      <c r="A21" s="4"/>
      <c r="B21" s="5" t="s">
        <v>19</v>
      </c>
      <c r="C21" s="5"/>
      <c r="D21" t="s">
        <v>11</v>
      </c>
      <c r="F21" s="6">
        <v>0</v>
      </c>
      <c r="G21" s="23">
        <v>0.78749999999999998</v>
      </c>
      <c r="H21" s="6">
        <v>0.33</v>
      </c>
    </row>
    <row r="22" spans="1:16" x14ac:dyDescent="0.25">
      <c r="A22" s="4"/>
      <c r="B22" s="5" t="s">
        <v>43</v>
      </c>
      <c r="C22" s="5"/>
      <c r="D22" t="s">
        <v>11</v>
      </c>
      <c r="F22" s="21">
        <v>-0.05</v>
      </c>
      <c r="G22" s="21">
        <v>0.8</v>
      </c>
      <c r="H22" s="21">
        <v>0.3</v>
      </c>
      <c r="J22" s="22" t="s">
        <v>45</v>
      </c>
      <c r="K22" s="22"/>
      <c r="L22" s="22"/>
      <c r="M22" s="22"/>
      <c r="N22" s="22"/>
      <c r="O22" s="22"/>
      <c r="P22" s="22"/>
    </row>
    <row r="23" spans="1:16" x14ac:dyDescent="0.25">
      <c r="A23" s="4"/>
      <c r="B23" s="5" t="s">
        <v>11</v>
      </c>
      <c r="C23" s="5"/>
      <c r="D23" t="s">
        <v>13</v>
      </c>
      <c r="F23" s="6"/>
      <c r="G23" s="6"/>
      <c r="H23" s="6">
        <v>5.2778799999999997</v>
      </c>
    </row>
    <row r="24" spans="1:16" x14ac:dyDescent="0.25">
      <c r="A24" s="4"/>
      <c r="B24" s="5" t="s">
        <v>20</v>
      </c>
      <c r="C24" s="5"/>
      <c r="D24" t="s">
        <v>21</v>
      </c>
      <c r="F24" s="6"/>
      <c r="G24" s="6"/>
      <c r="H24" s="6">
        <v>0</v>
      </c>
    </row>
    <row r="25" spans="1:16" x14ac:dyDescent="0.25">
      <c r="A25" s="4"/>
      <c r="B25" s="5" t="s">
        <v>22</v>
      </c>
      <c r="C25" s="5"/>
      <c r="D25" t="s">
        <v>21</v>
      </c>
      <c r="F25" s="6"/>
      <c r="G25" s="6"/>
      <c r="H25" s="6">
        <v>0</v>
      </c>
    </row>
    <row r="26" spans="1:16" x14ac:dyDescent="0.25">
      <c r="A26" s="4"/>
      <c r="B26" s="5" t="s">
        <v>23</v>
      </c>
      <c r="C26" s="5"/>
      <c r="D26" t="s">
        <v>11</v>
      </c>
      <c r="E26" t="s">
        <v>24</v>
      </c>
      <c r="F26" s="6"/>
      <c r="G26" s="6"/>
      <c r="H26" s="6">
        <v>0.15</v>
      </c>
    </row>
    <row r="27" spans="1:16" x14ac:dyDescent="0.25">
      <c r="A27" s="4"/>
      <c r="B27" s="5" t="s">
        <v>25</v>
      </c>
      <c r="C27" s="5"/>
      <c r="D27" t="s">
        <v>11</v>
      </c>
      <c r="E27" t="s">
        <v>26</v>
      </c>
      <c r="F27" s="6"/>
      <c r="G27" s="6"/>
      <c r="H27" s="6">
        <v>0.05</v>
      </c>
    </row>
    <row r="28" spans="1:16" x14ac:dyDescent="0.25">
      <c r="A28" s="4"/>
      <c r="B28" s="5" t="s">
        <v>27</v>
      </c>
      <c r="C28" s="5"/>
      <c r="D28" t="s">
        <v>13</v>
      </c>
      <c r="F28" s="6"/>
      <c r="G28" s="6"/>
      <c r="H28" s="6">
        <v>1.76</v>
      </c>
    </row>
    <row r="29" spans="1:16" x14ac:dyDescent="0.25">
      <c r="A29" s="4" t="s">
        <v>28</v>
      </c>
      <c r="B29" s="13" t="s">
        <v>29</v>
      </c>
      <c r="C29" s="5"/>
      <c r="D29" t="s">
        <v>11</v>
      </c>
      <c r="E29" t="s">
        <v>41</v>
      </c>
      <c r="F29" s="20">
        <f>-0.000217+0.05</f>
        <v>4.9783000000000001E-2</v>
      </c>
      <c r="G29" s="20">
        <v>0.49198500000000001</v>
      </c>
      <c r="H29" s="20">
        <v>0.52585999999999999</v>
      </c>
      <c r="J29" s="13" t="s">
        <v>41</v>
      </c>
    </row>
    <row r="30" spans="1:16" x14ac:dyDescent="0.25">
      <c r="A30" s="4"/>
      <c r="B30" s="13" t="s">
        <v>30</v>
      </c>
      <c r="C30" s="5"/>
      <c r="D30" t="s">
        <v>11</v>
      </c>
      <c r="E30" t="s">
        <v>41</v>
      </c>
      <c r="F30" s="20">
        <f>-0.000217+0.05</f>
        <v>4.9783000000000001E-2</v>
      </c>
      <c r="G30" s="20">
        <v>0.71599999999999997</v>
      </c>
      <c r="H30" s="20">
        <v>0.15</v>
      </c>
      <c r="J30" s="13" t="s">
        <v>41</v>
      </c>
    </row>
    <row r="31" spans="1:16" x14ac:dyDescent="0.25">
      <c r="A31" s="4"/>
      <c r="B31" s="5" t="s">
        <v>31</v>
      </c>
      <c r="C31" s="5"/>
      <c r="D31" t="s">
        <v>13</v>
      </c>
      <c r="F31" s="6"/>
      <c r="G31" s="6"/>
      <c r="H31" s="6">
        <v>3.6529410000000002</v>
      </c>
    </row>
    <row r="32" spans="1:16" x14ac:dyDescent="0.25">
      <c r="A32" s="4"/>
      <c r="B32" s="5" t="s">
        <v>32</v>
      </c>
      <c r="C32" s="5"/>
      <c r="D32" t="s">
        <v>13</v>
      </c>
      <c r="F32" s="6"/>
      <c r="G32" s="6"/>
      <c r="H32" s="6">
        <v>4.3157700000000006</v>
      </c>
    </row>
    <row r="33" spans="1:10" x14ac:dyDescent="0.25">
      <c r="A33" s="4" t="s">
        <v>33</v>
      </c>
      <c r="B33" s="14" t="s">
        <v>34</v>
      </c>
      <c r="C33" s="5"/>
      <c r="D33" t="s">
        <v>11</v>
      </c>
      <c r="E33" t="s">
        <v>42</v>
      </c>
      <c r="F33" s="12"/>
      <c r="G33" s="12"/>
      <c r="H33" s="18">
        <v>0.1</v>
      </c>
      <c r="J33" s="14" t="s">
        <v>42</v>
      </c>
    </row>
    <row r="34" spans="1:10" x14ac:dyDescent="0.25">
      <c r="A34" s="4"/>
      <c r="B34" s="14" t="s">
        <v>35</v>
      </c>
      <c r="C34" s="5"/>
      <c r="D34" t="s">
        <v>11</v>
      </c>
      <c r="E34" t="s">
        <v>42</v>
      </c>
      <c r="F34" s="12"/>
      <c r="G34" s="12"/>
      <c r="H34" s="18">
        <v>-0.1</v>
      </c>
      <c r="J34" s="14" t="s">
        <v>42</v>
      </c>
    </row>
    <row r="35" spans="1:10" x14ac:dyDescent="0.25">
      <c r="A35" s="4" t="s">
        <v>36</v>
      </c>
      <c r="B35" s="8" t="s">
        <v>8</v>
      </c>
      <c r="C35" s="9"/>
      <c r="D35" s="9"/>
      <c r="E35" s="8"/>
      <c r="F35" s="9"/>
      <c r="G35" s="9"/>
      <c r="H35" s="17" t="s">
        <v>40</v>
      </c>
    </row>
    <row r="36" spans="1:10" x14ac:dyDescent="0.25">
      <c r="A36" s="4" t="s">
        <v>38</v>
      </c>
      <c r="B36" s="8" t="s">
        <v>8</v>
      </c>
      <c r="C36" s="9"/>
      <c r="D36" s="9"/>
      <c r="E36" s="8"/>
      <c r="F36" s="9"/>
      <c r="G36" s="9"/>
      <c r="H36" s="17" t="s">
        <v>40</v>
      </c>
    </row>
    <row r="37" spans="1:10" x14ac:dyDescent="0.25">
      <c r="A37" s="4" t="s">
        <v>37</v>
      </c>
      <c r="B37" s="8" t="s">
        <v>8</v>
      </c>
      <c r="C37" s="9"/>
      <c r="D37" s="9"/>
      <c r="E37" s="8"/>
      <c r="F37" s="9"/>
      <c r="G37" s="9"/>
      <c r="H37" s="17" t="s">
        <v>40</v>
      </c>
    </row>
    <row r="38" spans="1:10" x14ac:dyDescent="0.25">
      <c r="A38" s="4" t="s">
        <v>46</v>
      </c>
      <c r="B38" s="8" t="s">
        <v>8</v>
      </c>
      <c r="C38" s="9"/>
      <c r="D38" s="9"/>
      <c r="E38" s="8"/>
      <c r="F38" s="9"/>
      <c r="G38" s="9"/>
      <c r="H38" s="17" t="s">
        <v>40</v>
      </c>
    </row>
    <row r="39" spans="1:10" x14ac:dyDescent="0.25">
      <c r="A39" s="4" t="s">
        <v>39</v>
      </c>
      <c r="B39" s="8" t="s">
        <v>8</v>
      </c>
      <c r="C39" s="9"/>
      <c r="D39" s="9"/>
      <c r="E39" s="8"/>
      <c r="F39" s="9"/>
      <c r="G39" s="9"/>
      <c r="H39" s="17" t="s">
        <v>40</v>
      </c>
    </row>
    <row r="40" spans="1:10" x14ac:dyDescent="0.25">
      <c r="A40" s="4" t="s">
        <v>47</v>
      </c>
      <c r="B40" s="8" t="s">
        <v>8</v>
      </c>
      <c r="C40" s="9"/>
      <c r="D40" s="9"/>
      <c r="E40" s="8"/>
      <c r="F40" s="9"/>
      <c r="G40" s="9"/>
      <c r="H40" s="17" t="s">
        <v>48</v>
      </c>
    </row>
    <row r="41" spans="1:10" x14ac:dyDescent="0.25">
      <c r="A41" s="4" t="s">
        <v>54</v>
      </c>
      <c r="B41" s="8" t="s">
        <v>8</v>
      </c>
      <c r="C41" s="9"/>
      <c r="D41" s="9"/>
      <c r="E41" s="8"/>
      <c r="F41" s="9"/>
      <c r="G41" s="9"/>
      <c r="H41" s="17" t="s">
        <v>48</v>
      </c>
    </row>
    <row r="42" spans="1:10" x14ac:dyDescent="0.25">
      <c r="A42" s="4" t="s">
        <v>55</v>
      </c>
      <c r="B42" s="8" t="s">
        <v>8</v>
      </c>
      <c r="C42" s="9"/>
      <c r="D42" s="9"/>
      <c r="E42" s="8"/>
      <c r="F42" s="9"/>
      <c r="G42" s="9"/>
      <c r="H42" s="17" t="s">
        <v>48</v>
      </c>
    </row>
    <row r="43" spans="1:10" x14ac:dyDescent="0.25">
      <c r="A43" s="4" t="s">
        <v>56</v>
      </c>
      <c r="B43" s="8" t="s">
        <v>8</v>
      </c>
      <c r="C43" s="9"/>
      <c r="D43" s="9"/>
      <c r="E43" s="8"/>
      <c r="F43" s="9"/>
      <c r="G43" s="9"/>
      <c r="H43" s="17" t="s">
        <v>48</v>
      </c>
    </row>
    <row r="44" spans="1:10" x14ac:dyDescent="0.25">
      <c r="A44" s="4" t="s">
        <v>57</v>
      </c>
      <c r="B44" s="8" t="s">
        <v>8</v>
      </c>
      <c r="C44" s="9"/>
      <c r="D44" s="9"/>
      <c r="E44" s="8"/>
      <c r="F44" s="9"/>
      <c r="G44" s="9"/>
      <c r="H44" s="17" t="s">
        <v>48</v>
      </c>
    </row>
  </sheetData>
  <conditionalFormatting sqref="A29">
    <cfRule type="cellIs" dxfId="29" priority="9" operator="equal">
      <formula>"class"</formula>
    </cfRule>
  </conditionalFormatting>
  <conditionalFormatting sqref="A35:A39">
    <cfRule type="cellIs" dxfId="28" priority="5" operator="equal">
      <formula>"class"</formula>
    </cfRule>
  </conditionalFormatting>
  <conditionalFormatting sqref="A29:B34">
    <cfRule type="cellIs" dxfId="27" priority="10" operator="equal">
      <formula>"class"</formula>
    </cfRule>
  </conditionalFormatting>
  <conditionalFormatting sqref="E29:E34">
    <cfRule type="cellIs" dxfId="26" priority="7" operator="equal">
      <formula>"class"</formula>
    </cfRule>
  </conditionalFormatting>
  <conditionalFormatting sqref="J33:J34">
    <cfRule type="cellIs" dxfId="25" priority="8" operator="equal">
      <formula>"class"</formula>
    </cfRule>
  </conditionalFormatting>
  <conditionalFormatting sqref="A40:A42">
    <cfRule type="cellIs" dxfId="9" priority="4" operator="equal">
      <formula>"class"</formula>
    </cfRule>
  </conditionalFormatting>
  <conditionalFormatting sqref="A43">
    <cfRule type="cellIs" dxfId="5" priority="2" operator="equal">
      <formula>"class"</formula>
    </cfRule>
  </conditionalFormatting>
  <conditionalFormatting sqref="A44">
    <cfRule type="cellIs" dxfId="2" priority="1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E7FDB-706D-4318-BC3F-DB945174005E}">
  <sheetPr>
    <tabColor theme="8" tint="-0.249977111117893"/>
  </sheetPr>
  <dimension ref="A1:P44"/>
  <sheetViews>
    <sheetView workbookViewId="0">
      <pane xSplit="3" ySplit="1" topLeftCell="D23" activePane="bottomRight" state="frozen"/>
      <selection activeCell="M30" sqref="M30"/>
      <selection pane="topRight" activeCell="M30" sqref="M30"/>
      <selection pane="bottomLeft" activeCell="M30" sqref="M30"/>
      <selection pane="bottomRight" activeCell="A44" sqref="A44:H44"/>
    </sheetView>
  </sheetViews>
  <sheetFormatPr defaultRowHeight="15" x14ac:dyDescent="0.25"/>
  <cols>
    <col min="1" max="1" width="24.7109375" style="15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8" x14ac:dyDescent="0.25">
      <c r="A3" s="4" t="s">
        <v>7</v>
      </c>
      <c r="B3" s="5"/>
      <c r="C3" s="5"/>
      <c r="F3" s="6"/>
      <c r="G3" s="6"/>
      <c r="H3" s="7" t="s">
        <v>52</v>
      </c>
    </row>
    <row r="4" spans="1:8" x14ac:dyDescent="0.25">
      <c r="A4" s="8" t="s">
        <v>8</v>
      </c>
      <c r="B4" s="9"/>
      <c r="C4" s="9"/>
      <c r="D4" s="9"/>
      <c r="E4" s="9"/>
      <c r="F4" s="10"/>
      <c r="G4" s="10"/>
      <c r="H4" s="11" t="s">
        <v>49</v>
      </c>
    </row>
    <row r="5" spans="1:8" x14ac:dyDescent="0.25">
      <c r="A5" s="4" t="s">
        <v>9</v>
      </c>
      <c r="B5" s="5" t="s">
        <v>10</v>
      </c>
      <c r="C5" s="5"/>
      <c r="D5" t="s">
        <v>11</v>
      </c>
      <c r="F5" s="6">
        <v>0.22500000000000001</v>
      </c>
      <c r="G5" s="6">
        <v>0.30599999999999999</v>
      </c>
      <c r="H5" s="6">
        <v>0.15</v>
      </c>
    </row>
    <row r="6" spans="1:8" x14ac:dyDescent="0.25">
      <c r="A6" s="4"/>
      <c r="B6" s="5" t="s">
        <v>12</v>
      </c>
      <c r="C6" s="5"/>
      <c r="D6" t="s">
        <v>11</v>
      </c>
      <c r="F6" s="6">
        <v>0.04</v>
      </c>
      <c r="G6" s="6">
        <v>0.76600000000000001</v>
      </c>
      <c r="H6" s="6">
        <v>0.15</v>
      </c>
    </row>
    <row r="7" spans="1:8" x14ac:dyDescent="0.25">
      <c r="A7" s="4"/>
      <c r="B7" s="5" t="s">
        <v>11</v>
      </c>
      <c r="C7" s="5"/>
      <c r="D7" t="s">
        <v>13</v>
      </c>
      <c r="F7" s="12"/>
      <c r="G7" s="6"/>
      <c r="H7" s="6">
        <f>5.80566/2</f>
        <v>2.9028299999999998</v>
      </c>
    </row>
    <row r="8" spans="1:8" x14ac:dyDescent="0.25">
      <c r="A8" s="4" t="s">
        <v>44</v>
      </c>
      <c r="B8" s="5" t="s">
        <v>10</v>
      </c>
      <c r="C8" s="5"/>
      <c r="D8" t="s">
        <v>11</v>
      </c>
      <c r="F8" s="6">
        <v>7.0000000000000007E-2</v>
      </c>
      <c r="G8" s="6">
        <v>0.30599999999999999</v>
      </c>
      <c r="H8" s="6">
        <v>0.15</v>
      </c>
    </row>
    <row r="9" spans="1:8" x14ac:dyDescent="0.25">
      <c r="A9" s="4"/>
      <c r="B9" s="5" t="s">
        <v>12</v>
      </c>
      <c r="C9" s="5"/>
      <c r="D9" t="s">
        <v>11</v>
      </c>
      <c r="F9" s="6">
        <v>7.0000000000000007E-2</v>
      </c>
      <c r="G9" s="6">
        <v>0.76600000000000001</v>
      </c>
      <c r="H9" s="6">
        <v>0.15</v>
      </c>
    </row>
    <row r="10" spans="1:8" x14ac:dyDescent="0.25">
      <c r="A10" s="4"/>
      <c r="B10" s="5" t="s">
        <v>11</v>
      </c>
      <c r="C10" s="5"/>
      <c r="D10" t="s">
        <v>13</v>
      </c>
      <c r="F10" s="12"/>
      <c r="G10" s="6"/>
      <c r="H10" s="6">
        <v>2.9028299999999998</v>
      </c>
    </row>
    <row r="11" spans="1:8" x14ac:dyDescent="0.25">
      <c r="A11" s="4" t="s">
        <v>14</v>
      </c>
      <c r="B11" s="5" t="s">
        <v>10</v>
      </c>
      <c r="C11" s="5"/>
      <c r="D11" t="s">
        <v>11</v>
      </c>
      <c r="F11" s="6">
        <v>-0.125</v>
      </c>
      <c r="G11" s="6">
        <v>0.30599999999999999</v>
      </c>
      <c r="H11" s="6">
        <v>0.15</v>
      </c>
    </row>
    <row r="12" spans="1:8" x14ac:dyDescent="0.25">
      <c r="A12" s="4"/>
      <c r="B12" s="5" t="s">
        <v>12</v>
      </c>
      <c r="C12" s="5"/>
      <c r="D12" t="s">
        <v>11</v>
      </c>
      <c r="F12" s="6">
        <v>-0.125</v>
      </c>
      <c r="G12" s="6">
        <v>0.76600000000000001</v>
      </c>
      <c r="H12" s="6">
        <v>0.15</v>
      </c>
    </row>
    <row r="13" spans="1:8" x14ac:dyDescent="0.25">
      <c r="A13" s="4"/>
      <c r="B13" s="5" t="s">
        <v>11</v>
      </c>
      <c r="C13" s="5"/>
      <c r="D13" t="s">
        <v>13</v>
      </c>
      <c r="F13" s="12"/>
      <c r="G13" s="6"/>
      <c r="H13" s="6">
        <v>2.9028299999999998</v>
      </c>
    </row>
    <row r="14" spans="1:8" x14ac:dyDescent="0.25">
      <c r="A14" s="4" t="s">
        <v>15</v>
      </c>
      <c r="B14" s="5" t="s">
        <v>10</v>
      </c>
      <c r="C14" s="5"/>
      <c r="D14" t="s">
        <v>11</v>
      </c>
      <c r="F14" s="6">
        <v>0.1</v>
      </c>
      <c r="G14" s="6">
        <v>0.45100000000000001</v>
      </c>
      <c r="H14" s="6">
        <v>0.43</v>
      </c>
    </row>
    <row r="15" spans="1:8" x14ac:dyDescent="0.25">
      <c r="A15" s="4"/>
      <c r="B15" s="5" t="s">
        <v>12</v>
      </c>
      <c r="C15" s="5"/>
      <c r="D15" t="s">
        <v>11</v>
      </c>
      <c r="F15" s="6">
        <v>-0.02</v>
      </c>
      <c r="G15" s="6">
        <v>0.68720000000000003</v>
      </c>
      <c r="H15" s="6">
        <v>0.45</v>
      </c>
    </row>
    <row r="16" spans="1:8" x14ac:dyDescent="0.25">
      <c r="A16" s="4"/>
      <c r="B16" s="5" t="s">
        <v>11</v>
      </c>
      <c r="C16" s="5"/>
      <c r="D16" t="s">
        <v>13</v>
      </c>
      <c r="F16" s="6"/>
      <c r="G16" s="6"/>
      <c r="H16" s="6">
        <f>5.27788/2</f>
        <v>2.6389399999999998</v>
      </c>
    </row>
    <row r="17" spans="1:16" x14ac:dyDescent="0.25">
      <c r="A17" s="4" t="s">
        <v>16</v>
      </c>
      <c r="B17" s="5" t="s">
        <v>10</v>
      </c>
      <c r="C17" s="5"/>
      <c r="D17" t="s">
        <v>11</v>
      </c>
      <c r="F17" s="6">
        <v>-0.105</v>
      </c>
      <c r="G17" s="6">
        <v>0.45100000000000001</v>
      </c>
      <c r="H17" s="6">
        <v>0.41</v>
      </c>
    </row>
    <row r="18" spans="1:16" x14ac:dyDescent="0.25">
      <c r="A18" s="4"/>
      <c r="B18" s="5" t="s">
        <v>12</v>
      </c>
      <c r="C18" s="5"/>
      <c r="D18" t="s">
        <v>11</v>
      </c>
      <c r="F18" s="6">
        <v>-0.105</v>
      </c>
      <c r="G18" s="6">
        <v>0.68720000000000003</v>
      </c>
      <c r="H18" s="6">
        <v>0.45</v>
      </c>
    </row>
    <row r="19" spans="1:16" x14ac:dyDescent="0.25">
      <c r="A19" s="4"/>
      <c r="B19" s="5" t="s">
        <v>11</v>
      </c>
      <c r="C19" s="5"/>
      <c r="D19" t="s">
        <v>13</v>
      </c>
      <c r="F19" s="6"/>
      <c r="G19" s="6"/>
      <c r="H19" s="6">
        <f>5.27788/2</f>
        <v>2.6389399999999998</v>
      </c>
    </row>
    <row r="20" spans="1:16" x14ac:dyDescent="0.25">
      <c r="A20" s="4" t="s">
        <v>17</v>
      </c>
      <c r="B20" s="5" t="s">
        <v>18</v>
      </c>
      <c r="C20" s="5"/>
      <c r="D20" t="s">
        <v>11</v>
      </c>
      <c r="F20" s="6">
        <v>0</v>
      </c>
      <c r="G20" s="6">
        <v>0.73</v>
      </c>
      <c r="H20" s="6">
        <v>0.33</v>
      </c>
    </row>
    <row r="21" spans="1:16" x14ac:dyDescent="0.25">
      <c r="A21" s="4"/>
      <c r="B21" s="5" t="s">
        <v>19</v>
      </c>
      <c r="C21" s="5"/>
      <c r="D21" t="s">
        <v>11</v>
      </c>
      <c r="F21" s="6">
        <v>0</v>
      </c>
      <c r="G21" s="23">
        <v>0.78749999999999998</v>
      </c>
      <c r="H21" s="6">
        <v>0.33</v>
      </c>
    </row>
    <row r="22" spans="1:16" x14ac:dyDescent="0.25">
      <c r="A22" s="4"/>
      <c r="B22" s="5" t="s">
        <v>43</v>
      </c>
      <c r="C22" s="5"/>
      <c r="D22" t="s">
        <v>11</v>
      </c>
      <c r="F22" s="21">
        <v>0.05</v>
      </c>
      <c r="G22" s="21">
        <v>0.6</v>
      </c>
      <c r="H22" s="21">
        <v>0.2</v>
      </c>
      <c r="J22" s="22" t="s">
        <v>45</v>
      </c>
      <c r="K22" s="22"/>
      <c r="L22" s="22"/>
      <c r="M22" s="22"/>
      <c r="N22" s="22"/>
      <c r="O22" s="22"/>
      <c r="P22" s="22"/>
    </row>
    <row r="23" spans="1:16" x14ac:dyDescent="0.25">
      <c r="A23" s="4"/>
      <c r="B23" s="5" t="s">
        <v>11</v>
      </c>
      <c r="C23" s="5"/>
      <c r="D23" t="s">
        <v>13</v>
      </c>
      <c r="F23" s="6"/>
      <c r="G23" s="6"/>
      <c r="H23" s="6">
        <v>5.2778799999999997</v>
      </c>
    </row>
    <row r="24" spans="1:16" x14ac:dyDescent="0.25">
      <c r="A24" s="4"/>
      <c r="B24" s="5" t="s">
        <v>20</v>
      </c>
      <c r="C24" s="5"/>
      <c r="D24" t="s">
        <v>21</v>
      </c>
      <c r="F24" s="6"/>
      <c r="G24" s="6"/>
      <c r="H24" s="6">
        <v>0</v>
      </c>
    </row>
    <row r="25" spans="1:16" x14ac:dyDescent="0.25">
      <c r="A25" s="4"/>
      <c r="B25" s="5" t="s">
        <v>22</v>
      </c>
      <c r="C25" s="5"/>
      <c r="D25" t="s">
        <v>21</v>
      </c>
      <c r="F25" s="6"/>
      <c r="G25" s="6"/>
      <c r="H25" s="6">
        <v>0</v>
      </c>
    </row>
    <row r="26" spans="1:16" x14ac:dyDescent="0.25">
      <c r="A26" s="4"/>
      <c r="B26" s="5" t="s">
        <v>23</v>
      </c>
      <c r="C26" s="5"/>
      <c r="D26" t="s">
        <v>11</v>
      </c>
      <c r="E26" t="s">
        <v>24</v>
      </c>
      <c r="F26" s="6"/>
      <c r="G26" s="6"/>
      <c r="H26" s="6">
        <v>0.15</v>
      </c>
    </row>
    <row r="27" spans="1:16" x14ac:dyDescent="0.25">
      <c r="A27" s="4"/>
      <c r="B27" s="5" t="s">
        <v>25</v>
      </c>
      <c r="C27" s="5"/>
      <c r="D27" t="s">
        <v>11</v>
      </c>
      <c r="E27" t="s">
        <v>26</v>
      </c>
      <c r="F27" s="6"/>
      <c r="G27" s="6"/>
      <c r="H27" s="6">
        <v>0.05</v>
      </c>
    </row>
    <row r="28" spans="1:16" x14ac:dyDescent="0.25">
      <c r="A28" s="4"/>
      <c r="B28" s="5" t="s">
        <v>27</v>
      </c>
      <c r="C28" s="5"/>
      <c r="D28" t="s">
        <v>13</v>
      </c>
      <c r="F28" s="6"/>
      <c r="G28" s="6"/>
      <c r="H28" s="6">
        <v>1.76</v>
      </c>
    </row>
    <row r="29" spans="1:16" x14ac:dyDescent="0.25">
      <c r="A29" s="4" t="s">
        <v>28</v>
      </c>
      <c r="B29" s="13" t="s">
        <v>29</v>
      </c>
      <c r="C29" s="5"/>
      <c r="D29" t="s">
        <v>11</v>
      </c>
      <c r="E29" t="s">
        <v>41</v>
      </c>
      <c r="F29" s="19">
        <f>-0.01387-0.04</f>
        <v>-5.3870000000000001E-2</v>
      </c>
      <c r="G29" s="19">
        <v>0.49195</v>
      </c>
      <c r="H29" s="19">
        <v>0.52285999999999999</v>
      </c>
      <c r="J29" s="13" t="s">
        <v>41</v>
      </c>
    </row>
    <row r="30" spans="1:16" x14ac:dyDescent="0.25">
      <c r="A30" s="4"/>
      <c r="B30" s="13" t="s">
        <v>30</v>
      </c>
      <c r="C30" s="5"/>
      <c r="D30" t="s">
        <v>11</v>
      </c>
      <c r="E30" t="s">
        <v>41</v>
      </c>
      <c r="F30" s="19">
        <f>-0.013587-0.04</f>
        <v>-5.3587000000000003E-2</v>
      </c>
      <c r="G30" s="19">
        <v>0.71599999999999997</v>
      </c>
      <c r="H30" s="19">
        <v>0.15</v>
      </c>
      <c r="J30" s="13" t="s">
        <v>41</v>
      </c>
    </row>
    <row r="31" spans="1:16" x14ac:dyDescent="0.25">
      <c r="A31" s="4"/>
      <c r="B31" s="5" t="s">
        <v>31</v>
      </c>
      <c r="C31" s="5"/>
      <c r="D31" t="s">
        <v>13</v>
      </c>
      <c r="F31" s="6"/>
      <c r="G31" s="6"/>
      <c r="H31" s="6">
        <v>3.6529410000000002</v>
      </c>
    </row>
    <row r="32" spans="1:16" x14ac:dyDescent="0.25">
      <c r="A32" s="4"/>
      <c r="B32" s="5" t="s">
        <v>32</v>
      </c>
      <c r="C32" s="5"/>
      <c r="D32" t="s">
        <v>13</v>
      </c>
      <c r="F32" s="6"/>
      <c r="G32" s="6"/>
      <c r="H32" s="6">
        <v>4.3157700000000006</v>
      </c>
    </row>
    <row r="33" spans="1:10" x14ac:dyDescent="0.25">
      <c r="A33" s="4" t="s">
        <v>33</v>
      </c>
      <c r="B33" s="14" t="s">
        <v>34</v>
      </c>
      <c r="C33" s="5"/>
      <c r="D33" t="s">
        <v>11</v>
      </c>
      <c r="E33" t="s">
        <v>42</v>
      </c>
      <c r="F33" s="12"/>
      <c r="G33" s="12"/>
      <c r="H33" s="18">
        <v>0.1</v>
      </c>
      <c r="J33" s="14" t="s">
        <v>42</v>
      </c>
    </row>
    <row r="34" spans="1:10" x14ac:dyDescent="0.25">
      <c r="A34" s="4"/>
      <c r="B34" s="14" t="s">
        <v>35</v>
      </c>
      <c r="C34" s="5"/>
      <c r="D34" t="s">
        <v>11</v>
      </c>
      <c r="E34" t="s">
        <v>42</v>
      </c>
      <c r="F34" s="12"/>
      <c r="G34" s="12"/>
      <c r="H34" s="18">
        <v>-0.1</v>
      </c>
      <c r="J34" s="14" t="s">
        <v>42</v>
      </c>
    </row>
    <row r="35" spans="1:10" x14ac:dyDescent="0.25">
      <c r="A35" s="4" t="s">
        <v>36</v>
      </c>
      <c r="B35" s="8" t="s">
        <v>8</v>
      </c>
      <c r="C35" s="9"/>
      <c r="D35" s="9"/>
      <c r="E35" s="8"/>
      <c r="F35" s="9"/>
      <c r="G35" s="9"/>
      <c r="H35" s="17" t="s">
        <v>40</v>
      </c>
    </row>
    <row r="36" spans="1:10" x14ac:dyDescent="0.25">
      <c r="A36" s="4" t="s">
        <v>38</v>
      </c>
      <c r="B36" s="8" t="s">
        <v>8</v>
      </c>
      <c r="C36" s="9"/>
      <c r="D36" s="9"/>
      <c r="E36" s="8"/>
      <c r="F36" s="9"/>
      <c r="G36" s="9"/>
      <c r="H36" s="17" t="s">
        <v>40</v>
      </c>
    </row>
    <row r="37" spans="1:10" x14ac:dyDescent="0.25">
      <c r="A37" s="4" t="s">
        <v>37</v>
      </c>
      <c r="B37" s="8" t="s">
        <v>8</v>
      </c>
      <c r="C37" s="9"/>
      <c r="D37" s="9"/>
      <c r="E37" s="8"/>
      <c r="F37" s="9"/>
      <c r="G37" s="9"/>
      <c r="H37" s="17" t="s">
        <v>40</v>
      </c>
    </row>
    <row r="38" spans="1:10" x14ac:dyDescent="0.25">
      <c r="A38" s="4" t="s">
        <v>46</v>
      </c>
      <c r="B38" s="8" t="s">
        <v>8</v>
      </c>
      <c r="C38" s="9"/>
      <c r="D38" s="9"/>
      <c r="E38" s="8"/>
      <c r="F38" s="9"/>
      <c r="G38" s="9"/>
      <c r="H38" s="17" t="s">
        <v>40</v>
      </c>
    </row>
    <row r="39" spans="1:10" x14ac:dyDescent="0.25">
      <c r="A39" s="4" t="s">
        <v>39</v>
      </c>
      <c r="B39" s="8" t="s">
        <v>8</v>
      </c>
      <c r="C39" s="9"/>
      <c r="D39" s="9"/>
      <c r="E39" s="8"/>
      <c r="F39" s="9"/>
      <c r="G39" s="9"/>
      <c r="H39" s="17" t="s">
        <v>40</v>
      </c>
    </row>
    <row r="40" spans="1:10" x14ac:dyDescent="0.25">
      <c r="A40" s="4" t="s">
        <v>47</v>
      </c>
      <c r="B40" s="8" t="s">
        <v>8</v>
      </c>
      <c r="C40" s="9"/>
      <c r="D40" s="9"/>
      <c r="E40" s="8"/>
      <c r="F40" s="9"/>
      <c r="G40" s="9"/>
      <c r="H40" s="17" t="s">
        <v>48</v>
      </c>
    </row>
    <row r="41" spans="1:10" x14ac:dyDescent="0.25">
      <c r="A41" s="4" t="s">
        <v>54</v>
      </c>
      <c r="B41" s="8" t="s">
        <v>8</v>
      </c>
      <c r="C41" s="9"/>
      <c r="D41" s="9"/>
      <c r="E41" s="8"/>
      <c r="F41" s="9"/>
      <c r="G41" s="9"/>
      <c r="H41" s="17" t="s">
        <v>48</v>
      </c>
    </row>
    <row r="42" spans="1:10" x14ac:dyDescent="0.25">
      <c r="A42" s="4" t="s">
        <v>55</v>
      </c>
      <c r="B42" s="8" t="s">
        <v>8</v>
      </c>
      <c r="C42" s="9"/>
      <c r="D42" s="9"/>
      <c r="E42" s="8"/>
      <c r="F42" s="9"/>
      <c r="G42" s="9"/>
      <c r="H42" s="17" t="s">
        <v>48</v>
      </c>
    </row>
    <row r="43" spans="1:10" x14ac:dyDescent="0.25">
      <c r="A43" s="4" t="s">
        <v>56</v>
      </c>
      <c r="B43" s="8" t="s">
        <v>8</v>
      </c>
      <c r="C43" s="9"/>
      <c r="D43" s="9"/>
      <c r="E43" s="8"/>
      <c r="F43" s="9"/>
      <c r="G43" s="9"/>
      <c r="H43" s="17" t="s">
        <v>48</v>
      </c>
    </row>
    <row r="44" spans="1:10" x14ac:dyDescent="0.25">
      <c r="A44" s="4" t="s">
        <v>57</v>
      </c>
      <c r="B44" s="8" t="s">
        <v>8</v>
      </c>
      <c r="C44" s="9"/>
      <c r="D44" s="9"/>
      <c r="E44" s="8"/>
      <c r="F44" s="9"/>
      <c r="G44" s="9"/>
      <c r="H44" s="17" t="s">
        <v>48</v>
      </c>
    </row>
  </sheetData>
  <conditionalFormatting sqref="A29">
    <cfRule type="cellIs" dxfId="24" priority="5" operator="equal">
      <formula>"class"</formula>
    </cfRule>
  </conditionalFormatting>
  <conditionalFormatting sqref="A35:A43">
    <cfRule type="cellIs" dxfId="23" priority="2" operator="equal">
      <formula>"class"</formula>
    </cfRule>
  </conditionalFormatting>
  <conditionalFormatting sqref="A29:B34">
    <cfRule type="cellIs" dxfId="22" priority="6" operator="equal">
      <formula>"class"</formula>
    </cfRule>
  </conditionalFormatting>
  <conditionalFormatting sqref="E29:E34">
    <cfRule type="cellIs" dxfId="21" priority="3" operator="equal">
      <formula>"class"</formula>
    </cfRule>
  </conditionalFormatting>
  <conditionalFormatting sqref="J33:J34">
    <cfRule type="cellIs" dxfId="20" priority="4" operator="equal">
      <formula>"class"</formula>
    </cfRule>
  </conditionalFormatting>
  <conditionalFormatting sqref="A44">
    <cfRule type="cellIs" dxfId="1" priority="1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F9AFE-CCE9-41C5-A10D-81291225854D}">
  <sheetPr>
    <tabColor theme="8" tint="-0.249977111117893"/>
  </sheetPr>
  <dimension ref="A1:P44"/>
  <sheetViews>
    <sheetView workbookViewId="0">
      <pane xSplit="3" ySplit="1" topLeftCell="D20" activePane="bottomRight" state="frozen"/>
      <selection activeCell="M30" sqref="M30"/>
      <selection pane="topRight" activeCell="M30" sqref="M30"/>
      <selection pane="bottomLeft" activeCell="M30" sqref="M30"/>
      <selection pane="bottomRight" activeCell="A44" sqref="A44:H44"/>
    </sheetView>
  </sheetViews>
  <sheetFormatPr defaultRowHeight="15" x14ac:dyDescent="0.25"/>
  <cols>
    <col min="1" max="1" width="14.42578125" style="15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8" x14ac:dyDescent="0.25">
      <c r="A3" s="4" t="s">
        <v>7</v>
      </c>
      <c r="B3" s="5"/>
      <c r="C3" s="5"/>
      <c r="F3" s="6"/>
      <c r="G3" s="6"/>
      <c r="H3" s="7" t="s">
        <v>51</v>
      </c>
    </row>
    <row r="4" spans="1:8" x14ac:dyDescent="0.25">
      <c r="A4" s="8" t="s">
        <v>8</v>
      </c>
      <c r="B4" s="9"/>
      <c r="C4" s="9"/>
      <c r="D4" s="9"/>
      <c r="E4" s="9"/>
      <c r="F4" s="10"/>
      <c r="G4" s="10"/>
      <c r="H4" s="11" t="s">
        <v>49</v>
      </c>
    </row>
    <row r="5" spans="1:8" x14ac:dyDescent="0.25">
      <c r="A5" s="4" t="s">
        <v>9</v>
      </c>
      <c r="B5" s="5" t="s">
        <v>10</v>
      </c>
      <c r="C5" s="5"/>
      <c r="D5" t="s">
        <v>11</v>
      </c>
      <c r="F5" s="6">
        <v>0.29913000000000006</v>
      </c>
      <c r="G5" s="6">
        <v>0.44059999999999999</v>
      </c>
      <c r="H5" s="6">
        <v>0.19097000000000003</v>
      </c>
    </row>
    <row r="6" spans="1:8" x14ac:dyDescent="0.25">
      <c r="A6" s="4"/>
      <c r="B6" s="5" t="s">
        <v>12</v>
      </c>
      <c r="C6" s="5"/>
      <c r="D6" t="s">
        <v>11</v>
      </c>
      <c r="F6" s="6">
        <v>7.0000000000000007E-2</v>
      </c>
      <c r="G6" s="6">
        <v>0.89710000000000001</v>
      </c>
      <c r="H6" s="6">
        <v>0.18855571428571433</v>
      </c>
    </row>
    <row r="7" spans="1:8" x14ac:dyDescent="0.25">
      <c r="A7" s="4"/>
      <c r="B7" s="5" t="s">
        <v>11</v>
      </c>
      <c r="C7" s="5"/>
      <c r="D7" t="s">
        <v>13</v>
      </c>
      <c r="F7" s="12"/>
      <c r="G7" s="6"/>
      <c r="H7" s="6">
        <v>2.9028299999999998</v>
      </c>
    </row>
    <row r="8" spans="1:8" x14ac:dyDescent="0.25">
      <c r="A8" s="4" t="s">
        <v>44</v>
      </c>
      <c r="B8" s="5" t="s">
        <v>10</v>
      </c>
      <c r="C8" s="5"/>
      <c r="D8" t="s">
        <v>11</v>
      </c>
      <c r="F8" s="6">
        <v>0.05</v>
      </c>
      <c r="G8" s="6">
        <v>0.44059999999999999</v>
      </c>
      <c r="H8" s="6">
        <v>0.22</v>
      </c>
    </row>
    <row r="9" spans="1:8" x14ac:dyDescent="0.25">
      <c r="A9" s="4"/>
      <c r="B9" s="5" t="s">
        <v>12</v>
      </c>
      <c r="C9" s="5"/>
      <c r="D9" t="s">
        <v>11</v>
      </c>
      <c r="F9" s="6">
        <v>7.0000000000000007E-2</v>
      </c>
      <c r="G9" s="6">
        <v>0.89710000000000001</v>
      </c>
      <c r="H9" s="6">
        <v>0.18855571428571433</v>
      </c>
    </row>
    <row r="10" spans="1:8" x14ac:dyDescent="0.25">
      <c r="A10" s="4"/>
      <c r="B10" s="5" t="s">
        <v>11</v>
      </c>
      <c r="C10" s="5"/>
      <c r="D10" t="s">
        <v>13</v>
      </c>
      <c r="F10" s="12"/>
      <c r="G10" s="6"/>
      <c r="H10" s="6">
        <v>2.9028299999999998</v>
      </c>
    </row>
    <row r="11" spans="1:8" x14ac:dyDescent="0.25">
      <c r="A11" s="4" t="s">
        <v>14</v>
      </c>
      <c r="B11" s="5" t="s">
        <v>10</v>
      </c>
      <c r="C11" s="5"/>
      <c r="D11" t="s">
        <v>11</v>
      </c>
      <c r="F11" s="6">
        <v>-0.18372714285714289</v>
      </c>
      <c r="G11" s="6">
        <v>0.44059999999999999</v>
      </c>
      <c r="H11" s="6">
        <v>0.2452914285714286</v>
      </c>
    </row>
    <row r="12" spans="1:8" x14ac:dyDescent="0.25">
      <c r="A12" s="4"/>
      <c r="B12" s="5" t="s">
        <v>12</v>
      </c>
      <c r="C12" s="5"/>
      <c r="D12" t="s">
        <v>11</v>
      </c>
      <c r="F12" s="6">
        <v>0.03</v>
      </c>
      <c r="G12" s="6">
        <v>0.89710000000000001</v>
      </c>
      <c r="H12" s="6">
        <v>0.18855571428571433</v>
      </c>
    </row>
    <row r="13" spans="1:8" x14ac:dyDescent="0.25">
      <c r="A13" s="4"/>
      <c r="B13" s="5" t="s">
        <v>11</v>
      </c>
      <c r="C13" s="5"/>
      <c r="D13" t="s">
        <v>13</v>
      </c>
      <c r="F13" s="12"/>
      <c r="G13" s="6"/>
      <c r="H13" s="6">
        <v>2.9028299999999998</v>
      </c>
    </row>
    <row r="14" spans="1:8" x14ac:dyDescent="0.25">
      <c r="A14" s="4" t="s">
        <v>15</v>
      </c>
      <c r="B14" s="5" t="s">
        <v>10</v>
      </c>
      <c r="C14" s="5"/>
      <c r="D14" t="s">
        <v>11</v>
      </c>
      <c r="F14" s="6">
        <v>0.16634428571428575</v>
      </c>
      <c r="G14" s="6">
        <v>0.63060000000000005</v>
      </c>
      <c r="H14" s="6">
        <v>0.53609214285714291</v>
      </c>
    </row>
    <row r="15" spans="1:8" x14ac:dyDescent="0.25">
      <c r="A15" s="4"/>
      <c r="B15" s="5" t="s">
        <v>12</v>
      </c>
      <c r="C15" s="5"/>
      <c r="D15" t="s">
        <v>11</v>
      </c>
      <c r="F15" s="6">
        <f>-0.03</f>
        <v>-0.03</v>
      </c>
      <c r="G15" s="6">
        <v>0.89280000000000004</v>
      </c>
      <c r="H15" s="6">
        <v>0.54321428571428576</v>
      </c>
    </row>
    <row r="16" spans="1:8" x14ac:dyDescent="0.25">
      <c r="A16" s="4"/>
      <c r="B16" s="5" t="s">
        <v>11</v>
      </c>
      <c r="C16" s="5"/>
      <c r="D16" t="s">
        <v>13</v>
      </c>
      <c r="F16" s="6"/>
      <c r="G16" s="6"/>
      <c r="H16" s="6">
        <f>5.27788/2</f>
        <v>2.6389399999999998</v>
      </c>
    </row>
    <row r="17" spans="1:16" x14ac:dyDescent="0.25">
      <c r="A17" s="4" t="s">
        <v>16</v>
      </c>
      <c r="B17" s="5" t="s">
        <v>10</v>
      </c>
      <c r="C17" s="5"/>
      <c r="D17" t="s">
        <v>11</v>
      </c>
      <c r="F17" s="6">
        <v>-0.18372714285714289</v>
      </c>
      <c r="G17" s="6">
        <v>0.63060000000000005</v>
      </c>
      <c r="H17" s="6">
        <v>0.51255285714285714</v>
      </c>
    </row>
    <row r="18" spans="1:16" x14ac:dyDescent="0.25">
      <c r="A18" s="4"/>
      <c r="B18" s="5" t="s">
        <v>12</v>
      </c>
      <c r="C18" s="5"/>
      <c r="D18" t="s">
        <v>11</v>
      </c>
      <c r="F18" s="6">
        <f>-0.07</f>
        <v>-7.0000000000000007E-2</v>
      </c>
      <c r="G18" s="6">
        <v>0.89280000000000004</v>
      </c>
      <c r="H18" s="6">
        <v>0.54321428571428576</v>
      </c>
    </row>
    <row r="19" spans="1:16" x14ac:dyDescent="0.25">
      <c r="A19" s="4"/>
      <c r="B19" s="5" t="s">
        <v>11</v>
      </c>
      <c r="C19" s="5"/>
      <c r="D19" t="s">
        <v>13</v>
      </c>
      <c r="F19" s="6"/>
      <c r="G19" s="6"/>
      <c r="H19" s="6">
        <f>5.27788/2</f>
        <v>2.6389399999999998</v>
      </c>
    </row>
    <row r="20" spans="1:16" x14ac:dyDescent="0.25">
      <c r="A20" s="4" t="s">
        <v>17</v>
      </c>
      <c r="B20" s="5" t="s">
        <v>18</v>
      </c>
      <c r="C20" s="5"/>
      <c r="D20" t="s">
        <v>11</v>
      </c>
      <c r="F20" s="6">
        <v>9.4157142857142894E-3</v>
      </c>
      <c r="G20" s="6">
        <v>0.89449999999999996</v>
      </c>
      <c r="H20" s="6">
        <v>0.42648357142857141</v>
      </c>
    </row>
    <row r="21" spans="1:16" x14ac:dyDescent="0.25">
      <c r="A21" s="4"/>
      <c r="B21" s="5" t="s">
        <v>19</v>
      </c>
      <c r="C21" s="5"/>
      <c r="D21" t="s">
        <v>11</v>
      </c>
      <c r="F21" s="6">
        <v>0</v>
      </c>
      <c r="G21" s="6">
        <v>0.99209999999999998</v>
      </c>
      <c r="H21" s="6">
        <v>0.36214285714285716</v>
      </c>
    </row>
    <row r="22" spans="1:16" x14ac:dyDescent="0.25">
      <c r="A22" s="4"/>
      <c r="B22" s="5" t="s">
        <v>43</v>
      </c>
      <c r="C22" s="5"/>
      <c r="D22" t="s">
        <v>11</v>
      </c>
      <c r="F22" s="21">
        <v>-0.05</v>
      </c>
      <c r="G22" s="21">
        <v>0.8</v>
      </c>
      <c r="H22" s="21">
        <v>0.3</v>
      </c>
      <c r="J22" s="22" t="s">
        <v>45</v>
      </c>
      <c r="K22" s="22"/>
      <c r="L22" s="22"/>
      <c r="M22" s="22"/>
      <c r="N22" s="22"/>
      <c r="O22" s="22"/>
      <c r="P22" s="22"/>
    </row>
    <row r="23" spans="1:16" x14ac:dyDescent="0.25">
      <c r="A23" s="4"/>
      <c r="B23" s="5" t="s">
        <v>11</v>
      </c>
      <c r="C23" s="5"/>
      <c r="D23" t="s">
        <v>13</v>
      </c>
      <c r="F23" s="6"/>
      <c r="G23" s="6"/>
      <c r="H23" s="6">
        <v>5.2778799999999997</v>
      </c>
    </row>
    <row r="24" spans="1:16" x14ac:dyDescent="0.25">
      <c r="A24" s="4"/>
      <c r="B24" s="5" t="s">
        <v>20</v>
      </c>
      <c r="C24" s="5"/>
      <c r="D24" t="s">
        <v>21</v>
      </c>
      <c r="F24" s="6"/>
      <c r="G24" s="6"/>
      <c r="H24" s="6">
        <v>0</v>
      </c>
    </row>
    <row r="25" spans="1:16" x14ac:dyDescent="0.25">
      <c r="A25" s="4"/>
      <c r="B25" s="5" t="s">
        <v>22</v>
      </c>
      <c r="C25" s="5"/>
      <c r="D25" t="s">
        <v>21</v>
      </c>
      <c r="F25" s="6"/>
      <c r="G25" s="6"/>
      <c r="H25" s="6">
        <v>0</v>
      </c>
    </row>
    <row r="26" spans="1:16" x14ac:dyDescent="0.25">
      <c r="A26" s="4"/>
      <c r="B26" s="5" t="s">
        <v>23</v>
      </c>
      <c r="C26" s="5"/>
      <c r="D26" t="s">
        <v>11</v>
      </c>
      <c r="E26" t="s">
        <v>24</v>
      </c>
      <c r="F26" s="6"/>
      <c r="G26" s="6"/>
      <c r="H26" s="6">
        <v>0.15</v>
      </c>
    </row>
    <row r="27" spans="1:16" x14ac:dyDescent="0.25">
      <c r="A27" s="4"/>
      <c r="B27" s="5" t="s">
        <v>25</v>
      </c>
      <c r="C27" s="5"/>
      <c r="D27" t="s">
        <v>11</v>
      </c>
      <c r="E27" t="s">
        <v>26</v>
      </c>
      <c r="F27" s="6"/>
      <c r="G27" s="6"/>
      <c r="H27" s="6">
        <v>0.05</v>
      </c>
    </row>
    <row r="28" spans="1:16" x14ac:dyDescent="0.25">
      <c r="A28" s="4"/>
      <c r="B28" s="5" t="s">
        <v>27</v>
      </c>
      <c r="C28" s="5"/>
      <c r="D28" t="s">
        <v>13</v>
      </c>
      <c r="F28" s="6"/>
      <c r="G28" s="6"/>
      <c r="H28" s="6">
        <v>1.76</v>
      </c>
    </row>
    <row r="29" spans="1:16" x14ac:dyDescent="0.25">
      <c r="A29" s="4" t="s">
        <v>28</v>
      </c>
      <c r="B29" s="13" t="s">
        <v>29</v>
      </c>
      <c r="C29" s="5"/>
      <c r="D29" t="s">
        <v>11</v>
      </c>
      <c r="E29" t="s">
        <v>41</v>
      </c>
      <c r="F29" s="20">
        <v>-2.6557142857142869E-3</v>
      </c>
      <c r="G29" s="19">
        <v>0.62</v>
      </c>
      <c r="H29" s="19">
        <v>0.65</v>
      </c>
      <c r="J29" s="13" t="s">
        <v>41</v>
      </c>
    </row>
    <row r="30" spans="1:16" x14ac:dyDescent="0.25">
      <c r="A30" s="4"/>
      <c r="B30" s="13" t="s">
        <v>30</v>
      </c>
      <c r="C30" s="5"/>
      <c r="D30" t="s">
        <v>11</v>
      </c>
      <c r="E30" t="s">
        <v>41</v>
      </c>
      <c r="F30" s="20">
        <v>5.5166428571428582E-2</v>
      </c>
      <c r="G30" s="19">
        <v>0.85</v>
      </c>
      <c r="H30" s="19">
        <v>0.19</v>
      </c>
      <c r="J30" s="13" t="s">
        <v>41</v>
      </c>
    </row>
    <row r="31" spans="1:16" x14ac:dyDescent="0.25">
      <c r="A31" s="4"/>
      <c r="B31" s="5" t="s">
        <v>31</v>
      </c>
      <c r="C31" s="5"/>
      <c r="D31" t="s">
        <v>13</v>
      </c>
      <c r="F31" s="6"/>
      <c r="G31" s="6"/>
      <c r="H31" s="6">
        <v>3.6529410000000002</v>
      </c>
    </row>
    <row r="32" spans="1:16" x14ac:dyDescent="0.25">
      <c r="A32" s="4"/>
      <c r="B32" s="5" t="s">
        <v>32</v>
      </c>
      <c r="C32" s="5"/>
      <c r="D32" t="s">
        <v>13</v>
      </c>
      <c r="F32" s="6"/>
      <c r="G32" s="6"/>
      <c r="H32" s="6">
        <v>4.3157700000000006</v>
      </c>
    </row>
    <row r="33" spans="1:10" x14ac:dyDescent="0.25">
      <c r="A33" s="4" t="s">
        <v>33</v>
      </c>
      <c r="B33" s="14" t="s">
        <v>34</v>
      </c>
      <c r="C33" s="5"/>
      <c r="D33" t="s">
        <v>11</v>
      </c>
      <c r="E33" t="s">
        <v>42</v>
      </c>
      <c r="F33" s="12"/>
      <c r="G33" s="12"/>
      <c r="H33" s="18">
        <v>0.1</v>
      </c>
      <c r="J33" s="14" t="s">
        <v>42</v>
      </c>
    </row>
    <row r="34" spans="1:10" x14ac:dyDescent="0.25">
      <c r="A34" s="4"/>
      <c r="B34" s="14" t="s">
        <v>35</v>
      </c>
      <c r="C34" s="5"/>
      <c r="D34" t="s">
        <v>11</v>
      </c>
      <c r="E34" t="s">
        <v>42</v>
      </c>
      <c r="F34" s="12"/>
      <c r="G34" s="12"/>
      <c r="H34" s="18">
        <v>-0.15</v>
      </c>
      <c r="J34" s="14" t="s">
        <v>42</v>
      </c>
    </row>
    <row r="35" spans="1:10" x14ac:dyDescent="0.25">
      <c r="A35" s="4" t="s">
        <v>36</v>
      </c>
      <c r="B35" s="8" t="s">
        <v>8</v>
      </c>
      <c r="C35" s="9"/>
      <c r="D35" s="9"/>
      <c r="E35" s="8"/>
      <c r="F35" s="9"/>
      <c r="G35" s="9"/>
      <c r="H35" s="17" t="s">
        <v>40</v>
      </c>
    </row>
    <row r="36" spans="1:10" x14ac:dyDescent="0.25">
      <c r="A36" s="4" t="s">
        <v>38</v>
      </c>
      <c r="B36" s="8" t="s">
        <v>8</v>
      </c>
      <c r="C36" s="9"/>
      <c r="D36" s="9"/>
      <c r="E36" s="8"/>
      <c r="F36" s="9"/>
      <c r="G36" s="9"/>
      <c r="H36" s="17" t="s">
        <v>40</v>
      </c>
    </row>
    <row r="37" spans="1:10" x14ac:dyDescent="0.25">
      <c r="A37" s="4" t="s">
        <v>37</v>
      </c>
      <c r="B37" s="8" t="s">
        <v>8</v>
      </c>
      <c r="C37" s="9"/>
      <c r="D37" s="9"/>
      <c r="E37" s="8"/>
      <c r="F37" s="9"/>
      <c r="G37" s="9"/>
      <c r="H37" s="17" t="s">
        <v>40</v>
      </c>
    </row>
    <row r="38" spans="1:10" x14ac:dyDescent="0.25">
      <c r="A38" s="4" t="s">
        <v>46</v>
      </c>
      <c r="B38" s="8" t="s">
        <v>8</v>
      </c>
      <c r="C38" s="9"/>
      <c r="D38" s="9"/>
      <c r="E38" s="8"/>
      <c r="F38" s="9"/>
      <c r="G38" s="9"/>
      <c r="H38" s="17" t="s">
        <v>40</v>
      </c>
    </row>
    <row r="39" spans="1:10" x14ac:dyDescent="0.25">
      <c r="A39" s="4" t="s">
        <v>39</v>
      </c>
      <c r="B39" s="8" t="s">
        <v>8</v>
      </c>
      <c r="C39" s="9"/>
      <c r="D39" s="9"/>
      <c r="E39" s="8"/>
      <c r="F39" s="9"/>
      <c r="G39" s="9"/>
      <c r="H39" s="17" t="s">
        <v>40</v>
      </c>
    </row>
    <row r="40" spans="1:10" x14ac:dyDescent="0.25">
      <c r="A40" s="4" t="s">
        <v>47</v>
      </c>
      <c r="B40" s="8" t="s">
        <v>8</v>
      </c>
      <c r="C40" s="9"/>
      <c r="D40" s="9"/>
      <c r="E40" s="8"/>
      <c r="F40" s="9"/>
      <c r="G40" s="9"/>
      <c r="H40" s="17" t="s">
        <v>48</v>
      </c>
    </row>
    <row r="41" spans="1:10" x14ac:dyDescent="0.25">
      <c r="A41" s="4" t="s">
        <v>54</v>
      </c>
      <c r="B41" s="8" t="s">
        <v>8</v>
      </c>
      <c r="C41" s="9"/>
      <c r="D41" s="9"/>
      <c r="E41" s="8"/>
      <c r="F41" s="9"/>
      <c r="G41" s="9"/>
      <c r="H41" s="17" t="s">
        <v>48</v>
      </c>
    </row>
    <row r="42" spans="1:10" x14ac:dyDescent="0.25">
      <c r="A42" s="4" t="s">
        <v>55</v>
      </c>
      <c r="B42" s="8" t="s">
        <v>8</v>
      </c>
      <c r="C42" s="9"/>
      <c r="D42" s="9"/>
      <c r="E42" s="8"/>
      <c r="F42" s="9"/>
      <c r="G42" s="9"/>
      <c r="H42" s="17" t="s">
        <v>48</v>
      </c>
    </row>
    <row r="43" spans="1:10" x14ac:dyDescent="0.25">
      <c r="A43" s="4" t="s">
        <v>56</v>
      </c>
      <c r="B43" s="8" t="s">
        <v>8</v>
      </c>
      <c r="C43" s="9"/>
      <c r="D43" s="9"/>
      <c r="E43" s="8"/>
      <c r="F43" s="9"/>
      <c r="G43" s="9"/>
      <c r="H43" s="17" t="s">
        <v>48</v>
      </c>
    </row>
    <row r="44" spans="1:10" x14ac:dyDescent="0.25">
      <c r="A44" s="4" t="s">
        <v>57</v>
      </c>
      <c r="B44" s="8" t="s">
        <v>8</v>
      </c>
      <c r="C44" s="9"/>
      <c r="D44" s="9"/>
      <c r="E44" s="8"/>
      <c r="F44" s="9"/>
      <c r="G44" s="9"/>
      <c r="H44" s="17" t="s">
        <v>48</v>
      </c>
    </row>
  </sheetData>
  <conditionalFormatting sqref="A29">
    <cfRule type="cellIs" dxfId="19" priority="9" operator="equal">
      <formula>"class"</formula>
    </cfRule>
  </conditionalFormatting>
  <conditionalFormatting sqref="A35:A39">
    <cfRule type="cellIs" dxfId="18" priority="4" operator="equal">
      <formula>"class"</formula>
    </cfRule>
  </conditionalFormatting>
  <conditionalFormatting sqref="A29:B34">
    <cfRule type="cellIs" dxfId="17" priority="10" operator="equal">
      <formula>"class"</formula>
    </cfRule>
  </conditionalFormatting>
  <conditionalFormatting sqref="E29:E34">
    <cfRule type="cellIs" dxfId="16" priority="6" operator="equal">
      <formula>"class"</formula>
    </cfRule>
  </conditionalFormatting>
  <conditionalFormatting sqref="J33:J34">
    <cfRule type="cellIs" dxfId="15" priority="7" operator="equal">
      <formula>"class"</formula>
    </cfRule>
  </conditionalFormatting>
  <conditionalFormatting sqref="A40:A42">
    <cfRule type="cellIs" dxfId="8" priority="3" operator="equal">
      <formula>"class"</formula>
    </cfRule>
  </conditionalFormatting>
  <conditionalFormatting sqref="A43">
    <cfRule type="cellIs" dxfId="4" priority="2" operator="equal">
      <formula>"class"</formula>
    </cfRule>
  </conditionalFormatting>
  <conditionalFormatting sqref="A44">
    <cfRule type="cellIs" dxfId="0" priority="1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C127C-24DF-4CD4-92A6-DD34F03E1F9B}">
  <sheetPr>
    <tabColor theme="8" tint="-0.249977111117893"/>
  </sheetPr>
  <dimension ref="A1:P44"/>
  <sheetViews>
    <sheetView topLeftCell="A22" workbookViewId="0">
      <selection activeCell="A46" sqref="A46"/>
    </sheetView>
  </sheetViews>
  <sheetFormatPr defaultRowHeight="15" x14ac:dyDescent="0.25"/>
  <cols>
    <col min="1" max="1" width="29.85546875" style="15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50</v>
      </c>
    </row>
    <row r="4" spans="1:10" x14ac:dyDescent="0.25">
      <c r="A4" s="8" t="s">
        <v>8</v>
      </c>
      <c r="B4" s="9"/>
      <c r="C4" s="9"/>
      <c r="D4" s="9"/>
      <c r="E4" s="9"/>
      <c r="F4" s="10"/>
      <c r="G4" s="10"/>
      <c r="H4" s="11" t="s">
        <v>49</v>
      </c>
    </row>
    <row r="5" spans="1:10" x14ac:dyDescent="0.25">
      <c r="A5" s="4" t="s">
        <v>9</v>
      </c>
      <c r="B5" s="5" t="s">
        <v>10</v>
      </c>
      <c r="C5" s="5"/>
      <c r="D5" t="s">
        <v>11</v>
      </c>
      <c r="F5" s="6">
        <v>0.18372714285714289</v>
      </c>
      <c r="G5" s="6">
        <v>0.44059999999999999</v>
      </c>
      <c r="H5" s="6">
        <v>0.2452914285714286</v>
      </c>
      <c r="J5" s="6">
        <v>0.18372714285714289</v>
      </c>
    </row>
    <row r="6" spans="1:10" x14ac:dyDescent="0.25">
      <c r="A6" s="4"/>
      <c r="B6" s="5" t="s">
        <v>12</v>
      </c>
      <c r="C6" s="5"/>
      <c r="D6" t="s">
        <v>11</v>
      </c>
      <c r="F6" s="6">
        <f>-0.03</f>
        <v>-0.03</v>
      </c>
      <c r="G6" s="6">
        <v>0.89710000000000001</v>
      </c>
      <c r="H6" s="6">
        <v>0.18855571428571433</v>
      </c>
      <c r="J6" s="6">
        <f>-0.03</f>
        <v>-0.03</v>
      </c>
    </row>
    <row r="7" spans="1:10" x14ac:dyDescent="0.25">
      <c r="A7" s="4"/>
      <c r="B7" s="5" t="s">
        <v>11</v>
      </c>
      <c r="C7" s="5"/>
      <c r="D7" t="s">
        <v>13</v>
      </c>
      <c r="F7" s="6"/>
      <c r="G7" s="6"/>
      <c r="H7" s="6">
        <v>2.9028299999999998</v>
      </c>
      <c r="J7" s="6"/>
    </row>
    <row r="8" spans="1:10" x14ac:dyDescent="0.25">
      <c r="A8" s="4" t="s">
        <v>44</v>
      </c>
      <c r="B8" s="5" t="s">
        <v>10</v>
      </c>
      <c r="C8" s="5"/>
      <c r="D8" t="s">
        <v>11</v>
      </c>
      <c r="F8" s="6">
        <v>0.05</v>
      </c>
      <c r="G8" s="6">
        <v>0.44059999999999999</v>
      </c>
      <c r="H8" s="6">
        <v>0.22</v>
      </c>
      <c r="J8" s="6">
        <v>0.05</v>
      </c>
    </row>
    <row r="9" spans="1:10" x14ac:dyDescent="0.25">
      <c r="A9" s="4"/>
      <c r="B9" s="5" t="s">
        <v>12</v>
      </c>
      <c r="C9" s="5"/>
      <c r="D9" t="s">
        <v>11</v>
      </c>
      <c r="F9" s="6">
        <f>-0.05</f>
        <v>-0.05</v>
      </c>
      <c r="G9" s="6">
        <v>0.89710000000000001</v>
      </c>
      <c r="H9" s="6">
        <v>0.18855571428571433</v>
      </c>
      <c r="J9" s="6">
        <f>-0.05</f>
        <v>-0.05</v>
      </c>
    </row>
    <row r="10" spans="1:10" x14ac:dyDescent="0.25">
      <c r="A10" s="4"/>
      <c r="B10" s="5" t="s">
        <v>11</v>
      </c>
      <c r="C10" s="5"/>
      <c r="D10" t="s">
        <v>13</v>
      </c>
      <c r="F10" s="6"/>
      <c r="G10" s="6"/>
      <c r="H10" s="6">
        <v>2.9028299999999998</v>
      </c>
      <c r="J10" s="6"/>
    </row>
    <row r="11" spans="1:10" x14ac:dyDescent="0.25">
      <c r="A11" s="4" t="s">
        <v>14</v>
      </c>
      <c r="B11" s="5" t="s">
        <v>10</v>
      </c>
      <c r="C11" s="5"/>
      <c r="D11" t="s">
        <v>11</v>
      </c>
      <c r="F11" s="6">
        <v>-0.29913000000000006</v>
      </c>
      <c r="G11" s="6">
        <v>0.44059999999999999</v>
      </c>
      <c r="H11" s="6">
        <v>0.19097000000000003</v>
      </c>
      <c r="J11" s="6">
        <v>-0.29913000000000006</v>
      </c>
    </row>
    <row r="12" spans="1:10" x14ac:dyDescent="0.25">
      <c r="A12" s="4"/>
      <c r="B12" s="5" t="s">
        <v>12</v>
      </c>
      <c r="C12" s="5"/>
      <c r="D12" t="s">
        <v>11</v>
      </c>
      <c r="F12" s="6">
        <v>-0.29913000000000006</v>
      </c>
      <c r="G12" s="6">
        <v>0.89710000000000001</v>
      </c>
      <c r="H12" s="6">
        <v>0.18855571428571433</v>
      </c>
      <c r="J12" s="6">
        <f>-0.07</f>
        <v>-7.0000000000000007E-2</v>
      </c>
    </row>
    <row r="13" spans="1:10" x14ac:dyDescent="0.25">
      <c r="A13" s="4"/>
      <c r="B13" s="5" t="s">
        <v>11</v>
      </c>
      <c r="C13" s="5"/>
      <c r="D13" t="s">
        <v>13</v>
      </c>
      <c r="F13" s="12"/>
      <c r="G13" s="6"/>
      <c r="H13" s="6">
        <v>2.9028299999999998</v>
      </c>
      <c r="J13" s="12"/>
    </row>
    <row r="14" spans="1:10" x14ac:dyDescent="0.25">
      <c r="A14" s="4" t="s">
        <v>15</v>
      </c>
      <c r="B14" s="5" t="s">
        <v>10</v>
      </c>
      <c r="C14" s="5"/>
      <c r="D14" t="s">
        <v>11</v>
      </c>
      <c r="F14" s="6">
        <v>0.18372714285714289</v>
      </c>
      <c r="G14" s="6">
        <v>0.63060000000000005</v>
      </c>
      <c r="H14" s="6">
        <v>0.51255285714285714</v>
      </c>
      <c r="J14" s="6">
        <v>0.18372714285714289</v>
      </c>
    </row>
    <row r="15" spans="1:10" x14ac:dyDescent="0.25">
      <c r="A15" s="4"/>
      <c r="B15" s="5" t="s">
        <v>12</v>
      </c>
      <c r="C15" s="5"/>
      <c r="D15" t="s">
        <v>11</v>
      </c>
      <c r="F15" s="6">
        <v>7.0000000000000007E-2</v>
      </c>
      <c r="G15" s="6">
        <v>0.89280000000000004</v>
      </c>
      <c r="H15" s="6">
        <v>0.54321428571428576</v>
      </c>
      <c r="J15" s="6">
        <v>7.0000000000000007E-2</v>
      </c>
    </row>
    <row r="16" spans="1:10" x14ac:dyDescent="0.25">
      <c r="A16" s="4"/>
      <c r="B16" s="5" t="s">
        <v>11</v>
      </c>
      <c r="C16" s="5"/>
      <c r="D16" t="s">
        <v>13</v>
      </c>
      <c r="F16" s="6"/>
      <c r="G16" s="6"/>
      <c r="H16" s="6">
        <f>5.27788/2</f>
        <v>2.6389399999999998</v>
      </c>
      <c r="J16" s="6"/>
    </row>
    <row r="17" spans="1:16" x14ac:dyDescent="0.25">
      <c r="A17" s="4" t="s">
        <v>16</v>
      </c>
      <c r="B17" s="5" t="s">
        <v>10</v>
      </c>
      <c r="C17" s="5"/>
      <c r="D17" t="s">
        <v>11</v>
      </c>
      <c r="F17" s="6">
        <v>-0.17</v>
      </c>
      <c r="G17" s="6">
        <v>0.63060000000000005</v>
      </c>
      <c r="H17" s="6">
        <v>0.53609214285714291</v>
      </c>
      <c r="J17" s="6">
        <v>0.03</v>
      </c>
    </row>
    <row r="18" spans="1:16" x14ac:dyDescent="0.25">
      <c r="A18" s="4"/>
      <c r="B18" s="5" t="s">
        <v>12</v>
      </c>
      <c r="C18" s="5"/>
      <c r="D18" t="s">
        <v>11</v>
      </c>
      <c r="F18" s="6">
        <v>-0.17</v>
      </c>
      <c r="G18" s="6">
        <v>0.89280000000000004</v>
      </c>
      <c r="H18" s="6">
        <v>0.54321428571428576</v>
      </c>
      <c r="J18" s="6">
        <v>0.03</v>
      </c>
    </row>
    <row r="19" spans="1:16" x14ac:dyDescent="0.25">
      <c r="A19" s="4"/>
      <c r="B19" s="5" t="s">
        <v>11</v>
      </c>
      <c r="C19" s="5"/>
      <c r="D19" t="s">
        <v>13</v>
      </c>
      <c r="F19" s="6"/>
      <c r="G19" s="6"/>
      <c r="H19" s="6">
        <f>5.27788/2</f>
        <v>2.6389399999999998</v>
      </c>
      <c r="J19" s="6"/>
    </row>
    <row r="20" spans="1:16" x14ac:dyDescent="0.25">
      <c r="A20" s="4" t="s">
        <v>17</v>
      </c>
      <c r="B20" s="5" t="s">
        <v>18</v>
      </c>
      <c r="C20" s="5"/>
      <c r="D20" t="s">
        <v>11</v>
      </c>
      <c r="F20" s="6">
        <v>-9.4157142857142894E-3</v>
      </c>
      <c r="G20" s="6">
        <v>0.89449999999999996</v>
      </c>
      <c r="H20" s="6">
        <v>0.42648357142857141</v>
      </c>
      <c r="J20" s="6">
        <v>-9.4157142857142894E-3</v>
      </c>
    </row>
    <row r="21" spans="1:16" x14ac:dyDescent="0.25">
      <c r="A21" s="4"/>
      <c r="B21" s="5" t="s">
        <v>19</v>
      </c>
      <c r="C21" s="5"/>
      <c r="D21" t="s">
        <v>11</v>
      </c>
      <c r="F21" s="6">
        <v>0</v>
      </c>
      <c r="G21" s="6">
        <v>0.99209999999999998</v>
      </c>
      <c r="H21" s="6">
        <v>0.36214285714285716</v>
      </c>
      <c r="J21" s="6">
        <v>0</v>
      </c>
    </row>
    <row r="22" spans="1:16" x14ac:dyDescent="0.25">
      <c r="A22" s="4"/>
      <c r="B22" s="5" t="s">
        <v>43</v>
      </c>
      <c r="C22" s="5"/>
      <c r="D22" t="s">
        <v>11</v>
      </c>
      <c r="F22" s="21">
        <v>-0.05</v>
      </c>
      <c r="G22" s="21">
        <v>0.8</v>
      </c>
      <c r="H22" s="21">
        <v>0.3</v>
      </c>
      <c r="J22" s="22" t="s">
        <v>45</v>
      </c>
      <c r="K22" s="22"/>
      <c r="L22" s="22"/>
      <c r="M22" s="22"/>
      <c r="N22" s="22"/>
      <c r="O22" s="22"/>
      <c r="P22" s="22"/>
    </row>
    <row r="23" spans="1:16" x14ac:dyDescent="0.25">
      <c r="A23" s="4"/>
      <c r="B23" s="5" t="s">
        <v>11</v>
      </c>
      <c r="C23" s="5"/>
      <c r="D23" t="s">
        <v>13</v>
      </c>
      <c r="F23" s="6"/>
      <c r="G23" s="6"/>
      <c r="H23" s="6">
        <v>7.0371699999999997</v>
      </c>
    </row>
    <row r="24" spans="1:16" x14ac:dyDescent="0.25">
      <c r="A24" s="4"/>
      <c r="B24" s="5" t="s">
        <v>20</v>
      </c>
      <c r="C24" s="5"/>
      <c r="D24" t="s">
        <v>21</v>
      </c>
      <c r="F24" s="6"/>
      <c r="G24" s="6"/>
      <c r="H24" s="6">
        <v>0</v>
      </c>
    </row>
    <row r="25" spans="1:16" x14ac:dyDescent="0.25">
      <c r="A25" s="4"/>
      <c r="B25" s="5" t="s">
        <v>22</v>
      </c>
      <c r="C25" s="5"/>
      <c r="D25" t="s">
        <v>21</v>
      </c>
      <c r="F25" s="6"/>
      <c r="G25" s="6"/>
      <c r="H25" s="6">
        <v>0</v>
      </c>
    </row>
    <row r="26" spans="1:16" x14ac:dyDescent="0.25">
      <c r="A26" s="4"/>
      <c r="B26" s="5" t="s">
        <v>23</v>
      </c>
      <c r="C26" s="5"/>
      <c r="D26" t="s">
        <v>11</v>
      </c>
      <c r="E26" t="s">
        <v>24</v>
      </c>
      <c r="F26" s="6"/>
      <c r="G26" s="6"/>
      <c r="H26" s="6">
        <v>0.15</v>
      </c>
    </row>
    <row r="27" spans="1:16" x14ac:dyDescent="0.25">
      <c r="A27" s="4"/>
      <c r="B27" s="5" t="s">
        <v>25</v>
      </c>
      <c r="C27" s="5"/>
      <c r="D27" t="s">
        <v>11</v>
      </c>
      <c r="E27" t="s">
        <v>26</v>
      </c>
      <c r="F27" s="6"/>
      <c r="G27" s="6"/>
      <c r="H27" s="6">
        <v>0.05</v>
      </c>
    </row>
    <row r="28" spans="1:16" x14ac:dyDescent="0.25">
      <c r="A28" s="4"/>
      <c r="B28" s="5" t="s">
        <v>27</v>
      </c>
      <c r="C28" s="5"/>
      <c r="D28" t="s">
        <v>13</v>
      </c>
      <c r="F28" s="6"/>
      <c r="G28" s="6"/>
      <c r="H28" s="6">
        <v>1.76</v>
      </c>
    </row>
    <row r="29" spans="1:16" x14ac:dyDescent="0.25">
      <c r="A29" s="4" t="s">
        <v>28</v>
      </c>
      <c r="B29" s="16" t="s">
        <v>29</v>
      </c>
      <c r="C29" s="5"/>
      <c r="D29" t="s">
        <v>11</v>
      </c>
      <c r="E29" t="s">
        <v>41</v>
      </c>
      <c r="F29" s="19">
        <v>2.6557142857142869E-3</v>
      </c>
      <c r="G29" s="19">
        <v>0.62</v>
      </c>
      <c r="H29" s="19">
        <v>0.65</v>
      </c>
      <c r="J29" s="13" t="s">
        <v>41</v>
      </c>
    </row>
    <row r="30" spans="1:16" x14ac:dyDescent="0.25">
      <c r="A30" s="4"/>
      <c r="B30" s="16" t="s">
        <v>30</v>
      </c>
      <c r="C30" s="5"/>
      <c r="D30" t="s">
        <v>11</v>
      </c>
      <c r="E30" t="s">
        <v>41</v>
      </c>
      <c r="F30" s="19">
        <v>-5.5166428571428582E-2</v>
      </c>
      <c r="G30" s="19">
        <v>0.85</v>
      </c>
      <c r="H30" s="19">
        <v>0.19</v>
      </c>
      <c r="J30" s="13" t="s">
        <v>41</v>
      </c>
    </row>
    <row r="31" spans="1:16" x14ac:dyDescent="0.25">
      <c r="A31" s="4"/>
      <c r="B31" s="5" t="s">
        <v>31</v>
      </c>
      <c r="C31" s="5"/>
      <c r="D31" t="s">
        <v>13</v>
      </c>
      <c r="F31" s="6"/>
      <c r="G31" s="6"/>
      <c r="H31" s="6">
        <v>3.6529410000000002</v>
      </c>
    </row>
    <row r="32" spans="1:16" x14ac:dyDescent="0.25">
      <c r="A32" s="4"/>
      <c r="B32" s="5" t="s">
        <v>32</v>
      </c>
      <c r="C32" s="5"/>
      <c r="D32" t="s">
        <v>13</v>
      </c>
      <c r="F32" s="6"/>
      <c r="G32" s="6"/>
      <c r="H32" s="6">
        <v>4.3157700000000006</v>
      </c>
    </row>
    <row r="33" spans="1:10" x14ac:dyDescent="0.25">
      <c r="A33" s="4" t="s">
        <v>33</v>
      </c>
      <c r="B33" s="14" t="s">
        <v>34</v>
      </c>
      <c r="C33" s="5"/>
      <c r="D33" t="s">
        <v>11</v>
      </c>
      <c r="E33" t="s">
        <v>42</v>
      </c>
      <c r="F33" s="12"/>
      <c r="G33" s="12"/>
      <c r="H33" s="18">
        <v>0.1</v>
      </c>
      <c r="J33" s="14" t="s">
        <v>42</v>
      </c>
    </row>
    <row r="34" spans="1:10" x14ac:dyDescent="0.25">
      <c r="A34" s="4"/>
      <c r="B34" s="14" t="s">
        <v>35</v>
      </c>
      <c r="C34" s="5"/>
      <c r="D34" t="s">
        <v>11</v>
      </c>
      <c r="E34" t="s">
        <v>42</v>
      </c>
      <c r="F34" s="12"/>
      <c r="G34" s="12"/>
      <c r="H34" s="18">
        <v>-0.15</v>
      </c>
      <c r="J34" s="14" t="s">
        <v>42</v>
      </c>
    </row>
    <row r="35" spans="1:10" x14ac:dyDescent="0.25">
      <c r="A35" s="4" t="s">
        <v>36</v>
      </c>
      <c r="B35" s="8" t="s">
        <v>8</v>
      </c>
      <c r="C35" s="9"/>
      <c r="D35" s="9"/>
      <c r="E35" s="8"/>
      <c r="F35" s="9"/>
      <c r="G35" s="9"/>
      <c r="H35" s="17" t="s">
        <v>40</v>
      </c>
    </row>
    <row r="36" spans="1:10" x14ac:dyDescent="0.25">
      <c r="A36" s="4" t="s">
        <v>38</v>
      </c>
      <c r="B36" s="8" t="s">
        <v>8</v>
      </c>
      <c r="C36" s="9"/>
      <c r="D36" s="9"/>
      <c r="E36" s="8"/>
      <c r="F36" s="9"/>
      <c r="G36" s="9"/>
      <c r="H36" s="17" t="s">
        <v>40</v>
      </c>
    </row>
    <row r="37" spans="1:10" x14ac:dyDescent="0.25">
      <c r="A37" s="4" t="s">
        <v>37</v>
      </c>
      <c r="B37" s="8" t="s">
        <v>8</v>
      </c>
      <c r="C37" s="9"/>
      <c r="D37" s="9"/>
      <c r="E37" s="8"/>
      <c r="F37" s="9"/>
      <c r="G37" s="9"/>
      <c r="H37" s="17" t="s">
        <v>40</v>
      </c>
    </row>
    <row r="38" spans="1:10" x14ac:dyDescent="0.25">
      <c r="A38" s="4" t="s">
        <v>46</v>
      </c>
      <c r="B38" s="8" t="s">
        <v>8</v>
      </c>
      <c r="C38" s="9"/>
      <c r="D38" s="9"/>
      <c r="E38" s="8"/>
      <c r="F38" s="9"/>
      <c r="G38" s="9"/>
      <c r="H38" s="17" t="s">
        <v>40</v>
      </c>
    </row>
    <row r="39" spans="1:10" x14ac:dyDescent="0.25">
      <c r="A39" s="4" t="s">
        <v>39</v>
      </c>
      <c r="B39" s="8" t="s">
        <v>8</v>
      </c>
      <c r="C39" s="9"/>
      <c r="D39" s="9"/>
      <c r="E39" s="8"/>
      <c r="F39" s="9"/>
      <c r="G39" s="9"/>
      <c r="H39" s="17" t="s">
        <v>40</v>
      </c>
    </row>
    <row r="40" spans="1:10" x14ac:dyDescent="0.25">
      <c r="A40" s="4" t="s">
        <v>47</v>
      </c>
      <c r="B40" s="8" t="s">
        <v>8</v>
      </c>
      <c r="C40" s="9"/>
      <c r="D40" s="9"/>
      <c r="E40" s="8"/>
      <c r="F40" s="9"/>
      <c r="G40" s="9"/>
      <c r="H40" s="17" t="s">
        <v>48</v>
      </c>
    </row>
    <row r="41" spans="1:10" x14ac:dyDescent="0.25">
      <c r="A41" s="4" t="s">
        <v>54</v>
      </c>
      <c r="B41" s="8" t="s">
        <v>8</v>
      </c>
      <c r="C41" s="9"/>
      <c r="D41" s="9"/>
      <c r="E41" s="8"/>
      <c r="F41" s="9"/>
      <c r="G41" s="9"/>
      <c r="H41" s="17" t="s">
        <v>48</v>
      </c>
    </row>
    <row r="42" spans="1:10" x14ac:dyDescent="0.25">
      <c r="A42" s="4" t="s">
        <v>55</v>
      </c>
      <c r="B42" s="8" t="s">
        <v>8</v>
      </c>
      <c r="C42" s="9"/>
      <c r="D42" s="9"/>
      <c r="E42" s="8"/>
      <c r="F42" s="9"/>
      <c r="G42" s="9"/>
      <c r="H42" s="17" t="s">
        <v>48</v>
      </c>
    </row>
    <row r="43" spans="1:10" x14ac:dyDescent="0.25">
      <c r="A43" s="4" t="s">
        <v>56</v>
      </c>
      <c r="B43" s="8" t="s">
        <v>8</v>
      </c>
      <c r="C43" s="9"/>
      <c r="D43" s="9"/>
      <c r="E43" s="8"/>
      <c r="F43" s="9"/>
      <c r="G43" s="9"/>
      <c r="H43" s="17" t="s">
        <v>48</v>
      </c>
    </row>
    <row r="44" spans="1:10" x14ac:dyDescent="0.25">
      <c r="A44" s="4" t="s">
        <v>57</v>
      </c>
      <c r="B44" s="8" t="s">
        <v>8</v>
      </c>
      <c r="C44" s="9"/>
      <c r="D44" s="9"/>
      <c r="E44" s="8"/>
      <c r="F44" s="9"/>
      <c r="G44" s="9"/>
      <c r="H44" s="17" t="s">
        <v>48</v>
      </c>
    </row>
  </sheetData>
  <conditionalFormatting sqref="A29">
    <cfRule type="cellIs" dxfId="14" priority="7" operator="equal">
      <formula>"class"</formula>
    </cfRule>
  </conditionalFormatting>
  <conditionalFormatting sqref="A35:A39">
    <cfRule type="cellIs" dxfId="13" priority="3" operator="equal">
      <formula>"class"</formula>
    </cfRule>
  </conditionalFormatting>
  <conditionalFormatting sqref="A29:B34">
    <cfRule type="cellIs" dxfId="12" priority="8" operator="equal">
      <formula>"class"</formula>
    </cfRule>
  </conditionalFormatting>
  <conditionalFormatting sqref="E29:E34">
    <cfRule type="cellIs" dxfId="11" priority="4" operator="equal">
      <formula>"class"</formula>
    </cfRule>
  </conditionalFormatting>
  <conditionalFormatting sqref="J33:J34">
    <cfRule type="cellIs" dxfId="10" priority="5" operator="equal">
      <formula>"class"</formula>
    </cfRule>
  </conditionalFormatting>
  <conditionalFormatting sqref="A40:A42">
    <cfRule type="cellIs" dxfId="7" priority="2" operator="equal">
      <formula>"class"</formula>
    </cfRule>
  </conditionalFormatting>
  <conditionalFormatting sqref="A43:A44">
    <cfRule type="cellIs" dxfId="3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Sedan_Hamba_f</vt:lpstr>
      <vt:lpstr>Sedan_Hamba_r</vt:lpstr>
      <vt:lpstr>Sedan_HambaLG_f</vt:lpstr>
      <vt:lpstr>Sedan_HambaLG_r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2019-11-05T12:25:01Z</dcterms:created>
  <dcterms:modified xsi:type="dcterms:W3CDTF">2026-02-10T08:58:50Z</dcterms:modified>
</cp:coreProperties>
</file>