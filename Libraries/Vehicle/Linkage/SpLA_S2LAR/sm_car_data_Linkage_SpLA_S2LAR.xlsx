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pLA_S2LAR\"/>
    </mc:Choice>
  </mc:AlternateContent>
  <xr:revisionPtr revIDLastSave="0" documentId="13_ncr:1_{B763DF15-B1F0-4530-B2AC-ADC1C3D2CCE7}" xr6:coauthVersionLast="47" xr6:coauthVersionMax="47" xr10:uidLastSave="{00000000-0000-0000-0000-000000000000}"/>
  <bookViews>
    <workbookView xWindow="32685" yWindow="0" windowWidth="21600" windowHeight="15585" tabRatio="828" activeTab="1" xr2:uid="{7F59BFDE-2DD5-4720-8334-1691F44FC63C}"/>
  </bookViews>
  <sheets>
    <sheet name="S2LAR_Sedan_HambaLG_f" sheetId="3" r:id="rId1"/>
    <sheet name="S2LAR_Sedan_HambaLG_r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4" l="1"/>
  <c r="F9" i="4"/>
  <c r="H7" i="4"/>
  <c r="F6" i="4"/>
  <c r="H11" i="3" l="1"/>
  <c r="H7" i="3"/>
</calcChain>
</file>

<file path=xl/sharedStrings.xml><?xml version="1.0" encoding="utf-8"?>
<sst xmlns="http://schemas.openxmlformats.org/spreadsheetml/2006/main" count="192" uniqueCount="51">
  <si>
    <t>Units</t>
  </si>
  <si>
    <t>Comments</t>
  </si>
  <si>
    <t>x</t>
  </si>
  <si>
    <t>y</t>
  </si>
  <si>
    <t>z or scalar</t>
  </si>
  <si>
    <t>Type</t>
  </si>
  <si>
    <t>Linkage</t>
  </si>
  <si>
    <t>Instance</t>
  </si>
  <si>
    <t>class</t>
  </si>
  <si>
    <t>SplitLowerArmShockRear</t>
  </si>
  <si>
    <t>LowerArmF</t>
  </si>
  <si>
    <t>sInboard</t>
  </si>
  <si>
    <t>m</t>
  </si>
  <si>
    <t>sOutboard</t>
  </si>
  <si>
    <t>kg</t>
  </si>
  <si>
    <t>LowerArmR</t>
  </si>
  <si>
    <t>UpperWishbone</t>
  </si>
  <si>
    <t>sInboardF</t>
  </si>
  <si>
    <t>sInboardR</t>
  </si>
  <si>
    <t>Upright</t>
  </si>
  <si>
    <t>sCG</t>
  </si>
  <si>
    <t>sWheelCentre</t>
  </si>
  <si>
    <t>aToe</t>
  </si>
  <si>
    <t>deg</t>
  </si>
  <si>
    <t>aCamber</t>
  </si>
  <si>
    <t>xAxle</t>
  </si>
  <si>
    <t>Axle length</t>
  </si>
  <si>
    <t>xWCtoBearing</t>
  </si>
  <si>
    <t>Wheel Center to Bearing</t>
  </si>
  <si>
    <t>mAxle</t>
  </si>
  <si>
    <t>TrackRod</t>
  </si>
  <si>
    <t>Shock</t>
  </si>
  <si>
    <t>sTop</t>
  </si>
  <si>
    <t>sBottom</t>
  </si>
  <si>
    <t>mPiston</t>
  </si>
  <si>
    <t>mCylinder</t>
  </si>
  <si>
    <t>Endstop</t>
  </si>
  <si>
    <t>xMax</t>
  </si>
  <si>
    <t>xMin</t>
  </si>
  <si>
    <t>Upper Arm to Subframe</t>
  </si>
  <si>
    <t>Rigid_1Rev</t>
  </si>
  <si>
    <t>SplitLowerArmShockRear_Sedan_HambaLG_r</t>
  </si>
  <si>
    <t>SplitLowerArmShockRear_Sedan_HambaLG_f</t>
  </si>
  <si>
    <t>LowerArmF to Subframe</t>
  </si>
  <si>
    <t>Rigid_UJ</t>
  </si>
  <si>
    <t>LowerArmR to Subframe</t>
  </si>
  <si>
    <t>Must  be consistent with steering rack outboard point</t>
  </si>
  <si>
    <t>Must be consistent with values in Spring, Damper</t>
  </si>
  <si>
    <t>Must be consistent with value in Dampers</t>
  </si>
  <si>
    <t>sARB</t>
  </si>
  <si>
    <t>Must be same as AntiRollBar.sSuspension for attachment to LowerArm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</si>
</sst>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4" borderId="0" xfId="0" applyFill="1" applyAlignment="1">
      <alignment horizontal="right"/>
    </xf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0" fillId="7" borderId="0" xfId="0" applyFill="1"/>
    <xf numFmtId="2" fontId="2" fillId="6" borderId="0" xfId="0" applyNumberFormat="1" applyFont="1" applyFill="1"/>
    <xf numFmtId="164" fontId="2" fillId="5" borderId="0" xfId="0" applyNumberFormat="1" applyFont="1" applyFill="1"/>
    <xf numFmtId="2" fontId="2" fillId="5" borderId="0" xfId="0" applyNumberFormat="1" applyFont="1" applyFill="1"/>
    <xf numFmtId="2" fontId="2" fillId="7" borderId="0" xfId="0" applyNumberFormat="1" applyFont="1" applyFill="1"/>
    <xf numFmtId="2" fontId="2" fillId="8" borderId="0" xfId="0" applyNumberFormat="1" applyFont="1" applyFill="1"/>
    <xf numFmtId="0" fontId="0" fillId="8" borderId="0" xfId="0" applyFill="1"/>
  </cellXfs>
  <cellStyles count="1">
    <cellStyle name="Normal" xfId="0" builtinId="0"/>
  </cellStyles>
  <dxfs count="9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C2219-96DC-48BB-9264-11E708105B32}">
  <sheetPr>
    <tabColor theme="8" tint="-0.249977111117893"/>
  </sheetPr>
  <dimension ref="A1:P35"/>
  <sheetViews>
    <sheetView workbookViewId="0">
      <pane xSplit="3" ySplit="1" topLeftCell="D2" activePane="bottomRight" state="frozen"/>
      <selection activeCell="J19" sqref="J19"/>
      <selection pane="topRight" activeCell="J19" sqref="J19"/>
      <selection pane="bottomLeft" activeCell="J19" sqref="J19"/>
      <selection pane="bottomRight" activeCell="A10" sqref="A10:XFD10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4" t="s">
        <v>5</v>
      </c>
      <c r="B2" s="5"/>
      <c r="C2" s="5"/>
      <c r="F2" s="6"/>
      <c r="G2" s="6"/>
      <c r="H2" s="7" t="s">
        <v>6</v>
      </c>
    </row>
    <row r="3" spans="1:16" x14ac:dyDescent="0.25">
      <c r="A3" s="4" t="s">
        <v>7</v>
      </c>
      <c r="B3" s="5"/>
      <c r="C3" s="5"/>
      <c r="F3" s="6"/>
      <c r="G3" s="6"/>
      <c r="H3" s="7" t="s">
        <v>42</v>
      </c>
    </row>
    <row r="4" spans="1:16" x14ac:dyDescent="0.25">
      <c r="A4" s="8" t="s">
        <v>8</v>
      </c>
      <c r="B4" s="9"/>
      <c r="C4" s="9"/>
      <c r="D4" s="9"/>
      <c r="E4" s="9"/>
      <c r="F4" s="10"/>
      <c r="G4" s="10"/>
      <c r="H4" s="11" t="s">
        <v>9</v>
      </c>
    </row>
    <row r="5" spans="1:16" x14ac:dyDescent="0.25">
      <c r="A5" s="4" t="s">
        <v>10</v>
      </c>
      <c r="B5" s="5" t="s">
        <v>11</v>
      </c>
      <c r="C5" s="5"/>
      <c r="D5" t="s">
        <v>12</v>
      </c>
      <c r="F5" s="6">
        <v>0.29913000000000006</v>
      </c>
      <c r="G5" s="6">
        <v>0.44059999999999999</v>
      </c>
      <c r="H5" s="6">
        <v>0.19097000000000003</v>
      </c>
    </row>
    <row r="6" spans="1:16" x14ac:dyDescent="0.25">
      <c r="A6" s="4"/>
      <c r="B6" s="5" t="s">
        <v>13</v>
      </c>
      <c r="C6" s="5"/>
      <c r="D6" t="s">
        <v>12</v>
      </c>
      <c r="F6" s="6">
        <v>7.0000000000000007E-2</v>
      </c>
      <c r="G6" s="6">
        <v>0.89710000000000001</v>
      </c>
      <c r="H6" s="6">
        <v>0.18855571428571433</v>
      </c>
    </row>
    <row r="7" spans="1:16" x14ac:dyDescent="0.25">
      <c r="A7" s="4"/>
      <c r="B7" s="5" t="s">
        <v>12</v>
      </c>
      <c r="C7" s="5"/>
      <c r="D7" t="s">
        <v>14</v>
      </c>
      <c r="F7" s="12"/>
      <c r="G7" s="6"/>
      <c r="H7" s="6">
        <f>5.80566/2</f>
        <v>2.9028299999999998</v>
      </c>
    </row>
    <row r="8" spans="1:16" x14ac:dyDescent="0.25">
      <c r="A8" s="4" t="s">
        <v>15</v>
      </c>
      <c r="B8" s="5" t="s">
        <v>11</v>
      </c>
      <c r="C8" s="5"/>
      <c r="D8" t="s">
        <v>12</v>
      </c>
      <c r="F8" s="6">
        <v>-0.18372714285714289</v>
      </c>
      <c r="G8" s="6">
        <v>0.44059999999999999</v>
      </c>
      <c r="H8" s="6">
        <v>0.2452914285714286</v>
      </c>
    </row>
    <row r="9" spans="1:16" x14ac:dyDescent="0.25">
      <c r="A9" s="4"/>
      <c r="B9" s="5" t="s">
        <v>13</v>
      </c>
      <c r="C9" s="5"/>
      <c r="D9" t="s">
        <v>12</v>
      </c>
      <c r="F9" s="6">
        <v>0.03</v>
      </c>
      <c r="G9" s="6">
        <v>0.89710000000000001</v>
      </c>
      <c r="H9" s="6">
        <v>0.18855571428571433</v>
      </c>
    </row>
    <row r="10" spans="1:16" x14ac:dyDescent="0.25">
      <c r="A10" s="4"/>
      <c r="B10" s="5" t="s">
        <v>49</v>
      </c>
      <c r="C10" s="5"/>
      <c r="D10" t="s">
        <v>12</v>
      </c>
      <c r="F10" s="23">
        <v>-0.05</v>
      </c>
      <c r="G10" s="23">
        <v>0.75</v>
      </c>
      <c r="H10" s="23">
        <v>0.15</v>
      </c>
      <c r="J10" s="24" t="s">
        <v>50</v>
      </c>
      <c r="K10" s="24"/>
      <c r="L10" s="24"/>
      <c r="M10" s="24"/>
      <c r="N10" s="24"/>
      <c r="O10" s="24"/>
      <c r="P10" s="24"/>
    </row>
    <row r="11" spans="1:16" x14ac:dyDescent="0.25">
      <c r="A11" s="4"/>
      <c r="B11" s="5" t="s">
        <v>12</v>
      </c>
      <c r="C11" s="5"/>
      <c r="D11" t="s">
        <v>14</v>
      </c>
      <c r="F11" s="12"/>
      <c r="G11" s="6"/>
      <c r="H11" s="6">
        <f>5.80566/2</f>
        <v>2.9028299999999998</v>
      </c>
    </row>
    <row r="12" spans="1:16" x14ac:dyDescent="0.25">
      <c r="A12" s="4" t="s">
        <v>16</v>
      </c>
      <c r="B12" s="5" t="s">
        <v>17</v>
      </c>
      <c r="C12" s="5"/>
      <c r="D12" t="s">
        <v>12</v>
      </c>
      <c r="F12" s="6">
        <v>0.16634428571428575</v>
      </c>
      <c r="G12" s="6">
        <v>0.63060000000000005</v>
      </c>
      <c r="H12" s="6">
        <v>0.53609214285714291</v>
      </c>
    </row>
    <row r="13" spans="1:16" x14ac:dyDescent="0.25">
      <c r="A13" s="4"/>
      <c r="B13" s="5" t="s">
        <v>18</v>
      </c>
      <c r="C13" s="5"/>
      <c r="D13" t="s">
        <v>12</v>
      </c>
      <c r="F13" s="6">
        <v>-0.18372714285714289</v>
      </c>
      <c r="G13" s="6">
        <v>0.63060000000000005</v>
      </c>
      <c r="H13" s="6">
        <v>0.51255285714285714</v>
      </c>
    </row>
    <row r="14" spans="1:16" x14ac:dyDescent="0.25">
      <c r="A14" s="4"/>
      <c r="B14" s="5" t="s">
        <v>13</v>
      </c>
      <c r="C14" s="5"/>
      <c r="D14" t="s">
        <v>12</v>
      </c>
      <c r="F14" s="6">
        <v>-4.8285714285714293E-2</v>
      </c>
      <c r="G14" s="6">
        <v>0.89280000000000004</v>
      </c>
      <c r="H14" s="6">
        <v>0.54321428571428576</v>
      </c>
    </row>
    <row r="15" spans="1:16" x14ac:dyDescent="0.25">
      <c r="A15" s="4"/>
      <c r="B15" s="5" t="s">
        <v>12</v>
      </c>
      <c r="C15" s="5"/>
      <c r="D15" t="s">
        <v>14</v>
      </c>
      <c r="F15" s="6"/>
      <c r="G15" s="6"/>
      <c r="H15" s="6">
        <v>5.2778799999999997</v>
      </c>
    </row>
    <row r="16" spans="1:16" x14ac:dyDescent="0.25">
      <c r="A16" s="4" t="s">
        <v>19</v>
      </c>
      <c r="B16" s="5" t="s">
        <v>20</v>
      </c>
      <c r="C16" s="5"/>
      <c r="D16" t="s">
        <v>12</v>
      </c>
      <c r="F16" s="6">
        <v>9.4157142857142894E-3</v>
      </c>
      <c r="G16" s="6">
        <v>0.89449999999999996</v>
      </c>
      <c r="H16" s="6">
        <v>0.42648357142857141</v>
      </c>
    </row>
    <row r="17" spans="1:10" x14ac:dyDescent="0.25">
      <c r="A17" s="4"/>
      <c r="B17" s="5" t="s">
        <v>21</v>
      </c>
      <c r="C17" s="5"/>
      <c r="D17" t="s">
        <v>12</v>
      </c>
      <c r="F17" s="6">
        <v>0</v>
      </c>
      <c r="G17" s="6">
        <v>0.99209999999999998</v>
      </c>
      <c r="H17" s="6">
        <v>0.36214285714285716</v>
      </c>
    </row>
    <row r="18" spans="1:10" x14ac:dyDescent="0.25">
      <c r="A18" s="4"/>
      <c r="B18" s="5" t="s">
        <v>12</v>
      </c>
      <c r="C18" s="5"/>
      <c r="D18" t="s">
        <v>14</v>
      </c>
      <c r="F18" s="6"/>
      <c r="G18" s="6"/>
      <c r="H18" s="6">
        <v>5.2778799999999997</v>
      </c>
    </row>
    <row r="19" spans="1:10" x14ac:dyDescent="0.25">
      <c r="A19" s="4"/>
      <c r="B19" s="5" t="s">
        <v>22</v>
      </c>
      <c r="C19" s="5"/>
      <c r="D19" t="s">
        <v>23</v>
      </c>
      <c r="F19" s="6"/>
      <c r="G19" s="6"/>
      <c r="H19" s="6">
        <v>0</v>
      </c>
    </row>
    <row r="20" spans="1:10" x14ac:dyDescent="0.25">
      <c r="A20" s="4"/>
      <c r="B20" s="5" t="s">
        <v>24</v>
      </c>
      <c r="C20" s="5"/>
      <c r="D20" t="s">
        <v>23</v>
      </c>
      <c r="F20" s="6"/>
      <c r="G20" s="6"/>
      <c r="H20" s="6">
        <v>0</v>
      </c>
    </row>
    <row r="21" spans="1:10" x14ac:dyDescent="0.25">
      <c r="A21" s="4"/>
      <c r="B21" s="5" t="s">
        <v>25</v>
      </c>
      <c r="C21" s="5"/>
      <c r="D21" t="s">
        <v>12</v>
      </c>
      <c r="E21" t="s">
        <v>26</v>
      </c>
      <c r="F21" s="6"/>
      <c r="G21" s="6"/>
      <c r="H21" s="6">
        <v>0.15</v>
      </c>
    </row>
    <row r="22" spans="1:10" x14ac:dyDescent="0.25">
      <c r="A22" s="4"/>
      <c r="B22" s="5" t="s">
        <v>27</v>
      </c>
      <c r="C22" s="5"/>
      <c r="D22" t="s">
        <v>12</v>
      </c>
      <c r="E22" t="s">
        <v>28</v>
      </c>
      <c r="F22" s="6"/>
      <c r="G22" s="6"/>
      <c r="H22" s="6">
        <v>0.05</v>
      </c>
    </row>
    <row r="23" spans="1:10" x14ac:dyDescent="0.25">
      <c r="A23" s="4"/>
      <c r="B23" s="5" t="s">
        <v>29</v>
      </c>
      <c r="C23" s="5"/>
      <c r="D23" t="s">
        <v>14</v>
      </c>
      <c r="F23" s="6"/>
      <c r="G23" s="6"/>
      <c r="H23" s="6">
        <v>1.76</v>
      </c>
    </row>
    <row r="24" spans="1:10" x14ac:dyDescent="0.25">
      <c r="A24" s="4" t="s">
        <v>30</v>
      </c>
      <c r="B24" s="18" t="s">
        <v>11</v>
      </c>
      <c r="C24" s="5"/>
      <c r="D24" t="s">
        <v>12</v>
      </c>
      <c r="E24" t="s">
        <v>46</v>
      </c>
      <c r="F24" s="22">
        <v>0.15379999999999999</v>
      </c>
      <c r="G24" s="22">
        <v>0.65</v>
      </c>
      <c r="H24" s="22">
        <v>0.24</v>
      </c>
      <c r="J24" s="18" t="s">
        <v>46</v>
      </c>
    </row>
    <row r="25" spans="1:10" x14ac:dyDescent="0.25">
      <c r="A25" s="4"/>
      <c r="B25" s="5" t="s">
        <v>13</v>
      </c>
      <c r="C25" s="5"/>
      <c r="D25" t="s">
        <v>12</v>
      </c>
      <c r="F25" s="6">
        <v>0.15379999999999999</v>
      </c>
      <c r="G25" s="6">
        <v>0.91</v>
      </c>
      <c r="H25" s="6">
        <v>0.23</v>
      </c>
    </row>
    <row r="26" spans="1:10" x14ac:dyDescent="0.25">
      <c r="A26" s="4"/>
      <c r="B26" s="5" t="s">
        <v>12</v>
      </c>
      <c r="C26" s="5"/>
      <c r="D26" t="s">
        <v>14</v>
      </c>
      <c r="F26" s="6"/>
      <c r="G26" s="6"/>
      <c r="H26" s="6">
        <v>5.2778799999999997</v>
      </c>
    </row>
    <row r="27" spans="1:10" x14ac:dyDescent="0.25">
      <c r="A27" s="4" t="s">
        <v>31</v>
      </c>
      <c r="B27" s="13" t="s">
        <v>32</v>
      </c>
      <c r="C27" s="5"/>
      <c r="D27" t="s">
        <v>12</v>
      </c>
      <c r="E27" t="s">
        <v>47</v>
      </c>
      <c r="F27" s="20">
        <v>-2.6557142857142869E-3</v>
      </c>
      <c r="G27" s="21">
        <v>0.62</v>
      </c>
      <c r="H27" s="21">
        <v>0.65</v>
      </c>
      <c r="J27" s="13" t="s">
        <v>47</v>
      </c>
    </row>
    <row r="28" spans="1:10" x14ac:dyDescent="0.25">
      <c r="A28" s="4"/>
      <c r="B28" s="13" t="s">
        <v>33</v>
      </c>
      <c r="C28" s="5"/>
      <c r="D28" t="s">
        <v>12</v>
      </c>
      <c r="E28" t="s">
        <v>47</v>
      </c>
      <c r="F28" s="20">
        <v>5.5166428571428582E-2</v>
      </c>
      <c r="G28" s="21">
        <v>0.85</v>
      </c>
      <c r="H28" s="21">
        <v>0.19</v>
      </c>
      <c r="J28" s="13" t="s">
        <v>47</v>
      </c>
    </row>
    <row r="29" spans="1:10" x14ac:dyDescent="0.25">
      <c r="A29" s="4"/>
      <c r="B29" s="5" t="s">
        <v>34</v>
      </c>
      <c r="C29" s="5"/>
      <c r="D29" t="s">
        <v>14</v>
      </c>
      <c r="F29" s="6"/>
      <c r="G29" s="6"/>
      <c r="H29" s="6">
        <v>3.6529410000000002</v>
      </c>
    </row>
    <row r="30" spans="1:10" x14ac:dyDescent="0.25">
      <c r="A30" s="4"/>
      <c r="B30" s="5" t="s">
        <v>35</v>
      </c>
      <c r="C30" s="5"/>
      <c r="D30" t="s">
        <v>14</v>
      </c>
      <c r="F30" s="6"/>
      <c r="G30" s="6"/>
      <c r="H30" s="6">
        <v>4.3157700000000006</v>
      </c>
    </row>
    <row r="31" spans="1:10" x14ac:dyDescent="0.25">
      <c r="A31" s="4" t="s">
        <v>36</v>
      </c>
      <c r="B31" s="14" t="s">
        <v>37</v>
      </c>
      <c r="C31" s="5"/>
      <c r="D31" t="s">
        <v>12</v>
      </c>
      <c r="E31" t="s">
        <v>48</v>
      </c>
      <c r="F31" s="12"/>
      <c r="G31" s="12"/>
      <c r="H31" s="19">
        <v>0.1</v>
      </c>
      <c r="J31" s="14" t="s">
        <v>48</v>
      </c>
    </row>
    <row r="32" spans="1:10" x14ac:dyDescent="0.25">
      <c r="A32" s="4"/>
      <c r="B32" s="14" t="s">
        <v>38</v>
      </c>
      <c r="C32" s="5"/>
      <c r="D32" t="s">
        <v>12</v>
      </c>
      <c r="E32" t="s">
        <v>48</v>
      </c>
      <c r="F32" s="12"/>
      <c r="G32" s="12"/>
      <c r="H32" s="19">
        <v>-0.15</v>
      </c>
      <c r="J32" s="14" t="s">
        <v>48</v>
      </c>
    </row>
    <row r="33" spans="1:8" x14ac:dyDescent="0.25">
      <c r="A33" s="4" t="s">
        <v>39</v>
      </c>
      <c r="B33" s="8" t="s">
        <v>8</v>
      </c>
      <c r="C33" s="9"/>
      <c r="D33" s="9"/>
      <c r="E33" s="9"/>
      <c r="F33" s="9"/>
      <c r="G33" s="9"/>
      <c r="H33" s="15" t="s">
        <v>40</v>
      </c>
    </row>
    <row r="34" spans="1:8" x14ac:dyDescent="0.25">
      <c r="A34" s="4" t="s">
        <v>43</v>
      </c>
      <c r="B34" s="8" t="s">
        <v>8</v>
      </c>
      <c r="C34" s="9"/>
      <c r="D34" s="9"/>
      <c r="E34" s="8"/>
      <c r="F34" s="9"/>
      <c r="G34" s="9"/>
      <c r="H34" s="15" t="s">
        <v>44</v>
      </c>
    </row>
    <row r="35" spans="1:8" x14ac:dyDescent="0.25">
      <c r="A35" s="4" t="s">
        <v>45</v>
      </c>
      <c r="B35" s="8" t="s">
        <v>8</v>
      </c>
      <c r="C35" s="9"/>
      <c r="D35" s="9"/>
      <c r="E35" s="8"/>
      <c r="F35" s="9"/>
      <c r="G35" s="9"/>
      <c r="H35" s="15" t="s">
        <v>44</v>
      </c>
    </row>
  </sheetData>
  <conditionalFormatting sqref="A33:A35">
    <cfRule type="cellIs" dxfId="8" priority="3" operator="equal">
      <formula>"class"</formula>
    </cfRule>
  </conditionalFormatting>
  <conditionalFormatting sqref="A27:B32">
    <cfRule type="cellIs" dxfId="7" priority="5" operator="equal">
      <formula>"class"</formula>
    </cfRule>
  </conditionalFormatting>
  <conditionalFormatting sqref="E27:E32">
    <cfRule type="cellIs" dxfId="6" priority="2" operator="equal">
      <formula>"class"</formula>
    </cfRule>
  </conditionalFormatting>
  <conditionalFormatting sqref="J31:J32">
    <cfRule type="cellIs" dxfId="5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E0219-8966-4B91-AC80-0C0C71221064}">
  <sheetPr>
    <tabColor theme="8" tint="-0.249977111117893"/>
  </sheetPr>
  <dimension ref="A1:P35"/>
  <sheetViews>
    <sheetView tabSelected="1" workbookViewId="0">
      <pane xSplit="3" ySplit="1" topLeftCell="D2" activePane="bottomRight" state="frozen"/>
      <selection activeCell="B2" sqref="B2"/>
      <selection pane="topRight" activeCell="B2" sqref="B2"/>
      <selection pane="bottomLeft" activeCell="B2" sqref="B2"/>
      <selection pane="bottomRight" activeCell="F22" sqref="F22"/>
    </sheetView>
  </sheetViews>
  <sheetFormatPr defaultRowHeight="15" x14ac:dyDescent="0.25"/>
  <cols>
    <col min="1" max="1" width="14.42578125" style="16" customWidth="1"/>
    <col min="2" max="2" width="12.7109375" customWidth="1"/>
    <col min="3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6" x14ac:dyDescent="0.25">
      <c r="A1" s="1"/>
      <c r="B1" s="2"/>
      <c r="C1" s="2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6" x14ac:dyDescent="0.25">
      <c r="A3" s="4" t="s">
        <v>7</v>
      </c>
      <c r="B3" s="5"/>
      <c r="C3" s="5"/>
      <c r="F3" s="6"/>
      <c r="G3" s="6"/>
      <c r="H3" s="7" t="s">
        <v>41</v>
      </c>
    </row>
    <row r="4" spans="1:16" x14ac:dyDescent="0.25">
      <c r="A4" s="8" t="s">
        <v>8</v>
      </c>
      <c r="B4" s="9"/>
      <c r="C4" s="9"/>
      <c r="D4" s="9"/>
      <c r="E4" s="9"/>
      <c r="F4" s="10"/>
      <c r="G4" s="10"/>
      <c r="H4" s="11" t="s">
        <v>9</v>
      </c>
    </row>
    <row r="5" spans="1:16" x14ac:dyDescent="0.25">
      <c r="A5" s="4" t="s">
        <v>10</v>
      </c>
      <c r="B5" s="5" t="s">
        <v>11</v>
      </c>
      <c r="C5" s="5"/>
      <c r="D5" t="s">
        <v>12</v>
      </c>
      <c r="F5" s="6">
        <v>0.18372714285714289</v>
      </c>
      <c r="G5" s="6">
        <v>0.44059999999999999</v>
      </c>
      <c r="H5" s="6">
        <v>0.2452914285714286</v>
      </c>
      <c r="J5" s="16"/>
    </row>
    <row r="6" spans="1:16" x14ac:dyDescent="0.25">
      <c r="A6" s="4"/>
      <c r="B6" s="5" t="s">
        <v>13</v>
      </c>
      <c r="C6" s="5"/>
      <c r="D6" t="s">
        <v>12</v>
      </c>
      <c r="F6" s="6">
        <f>-0.03</f>
        <v>-0.03</v>
      </c>
      <c r="G6" s="6">
        <v>0.89710000000000001</v>
      </c>
      <c r="H6" s="6">
        <v>0.18855571428571433</v>
      </c>
      <c r="J6" s="16"/>
    </row>
    <row r="7" spans="1:16" x14ac:dyDescent="0.25">
      <c r="A7" s="4"/>
      <c r="B7" s="5" t="s">
        <v>12</v>
      </c>
      <c r="C7" s="5"/>
      <c r="D7" t="s">
        <v>14</v>
      </c>
      <c r="F7" s="6"/>
      <c r="G7" s="6"/>
      <c r="H7" s="6">
        <f>5.80566/2</f>
        <v>2.9028299999999998</v>
      </c>
      <c r="J7" s="16"/>
    </row>
    <row r="8" spans="1:16" x14ac:dyDescent="0.25">
      <c r="A8" s="4" t="s">
        <v>15</v>
      </c>
      <c r="B8" s="5" t="s">
        <v>11</v>
      </c>
      <c r="C8" s="5"/>
      <c r="D8" t="s">
        <v>12</v>
      </c>
      <c r="F8" s="6">
        <v>-0.29913000000000006</v>
      </c>
      <c r="G8" s="6">
        <v>0.44059999999999999</v>
      </c>
      <c r="H8" s="6">
        <v>0.19097000000000003</v>
      </c>
      <c r="J8" s="16"/>
    </row>
    <row r="9" spans="1:16" x14ac:dyDescent="0.25">
      <c r="A9" s="4"/>
      <c r="B9" s="5" t="s">
        <v>13</v>
      </c>
      <c r="C9" s="5"/>
      <c r="D9" t="s">
        <v>12</v>
      </c>
      <c r="F9" s="6">
        <f>-0.07</f>
        <v>-7.0000000000000007E-2</v>
      </c>
      <c r="G9" s="6">
        <v>0.89710000000000001</v>
      </c>
      <c r="H9" s="6">
        <v>0.18855571428571433</v>
      </c>
    </row>
    <row r="10" spans="1:16" x14ac:dyDescent="0.25">
      <c r="A10" s="4"/>
      <c r="B10" s="5" t="s">
        <v>49</v>
      </c>
      <c r="C10" s="5"/>
      <c r="D10" t="s">
        <v>12</v>
      </c>
      <c r="F10" s="23">
        <v>-0.05</v>
      </c>
      <c r="G10" s="23">
        <v>0.75</v>
      </c>
      <c r="H10" s="23">
        <v>0.15</v>
      </c>
      <c r="J10" s="24" t="s">
        <v>50</v>
      </c>
      <c r="K10" s="24"/>
      <c r="L10" s="24"/>
      <c r="M10" s="24"/>
      <c r="N10" s="24"/>
      <c r="O10" s="24"/>
      <c r="P10" s="24"/>
    </row>
    <row r="11" spans="1:16" x14ac:dyDescent="0.25">
      <c r="A11" s="4"/>
      <c r="B11" s="5" t="s">
        <v>12</v>
      </c>
      <c r="C11" s="5"/>
      <c r="D11" t="s">
        <v>14</v>
      </c>
      <c r="F11" s="12"/>
      <c r="G11" s="6"/>
      <c r="H11" s="6">
        <f>5.80566/2</f>
        <v>2.9028299999999998</v>
      </c>
      <c r="J11" s="16"/>
    </row>
    <row r="12" spans="1:16" x14ac:dyDescent="0.25">
      <c r="A12" s="4" t="s">
        <v>16</v>
      </c>
      <c r="B12" s="5" t="s">
        <v>17</v>
      </c>
      <c r="C12" s="5"/>
      <c r="D12" t="s">
        <v>12</v>
      </c>
      <c r="F12" s="6">
        <v>0.18372714285714289</v>
      </c>
      <c r="G12" s="6">
        <v>0.63060000000000005</v>
      </c>
      <c r="H12" s="6">
        <v>0.51255285714285714</v>
      </c>
      <c r="J12" s="16"/>
    </row>
    <row r="13" spans="1:16" x14ac:dyDescent="0.25">
      <c r="A13" s="4"/>
      <c r="B13" s="5" t="s">
        <v>18</v>
      </c>
      <c r="C13" s="5"/>
      <c r="D13" t="s">
        <v>12</v>
      </c>
      <c r="F13" s="6">
        <v>-0.16634428571428575</v>
      </c>
      <c r="G13" s="6">
        <v>0.63060000000000005</v>
      </c>
      <c r="H13" s="6">
        <v>0.53609214285714291</v>
      </c>
      <c r="J13" s="16"/>
    </row>
    <row r="14" spans="1:16" x14ac:dyDescent="0.25">
      <c r="A14" s="4"/>
      <c r="B14" s="5" t="s">
        <v>13</v>
      </c>
      <c r="C14" s="5"/>
      <c r="D14" t="s">
        <v>12</v>
      </c>
      <c r="F14" s="6">
        <v>4.8285714285714293E-2</v>
      </c>
      <c r="G14" s="6">
        <v>0.89280000000000004</v>
      </c>
      <c r="H14" s="6">
        <v>0.54321428571428576</v>
      </c>
      <c r="J14" s="16"/>
    </row>
    <row r="15" spans="1:16" x14ac:dyDescent="0.25">
      <c r="A15" s="4"/>
      <c r="B15" s="5" t="s">
        <v>12</v>
      </c>
      <c r="C15" s="5"/>
      <c r="D15" t="s">
        <v>14</v>
      </c>
      <c r="F15" s="6"/>
      <c r="G15" s="6"/>
      <c r="H15" s="6">
        <v>5.4538000000000002</v>
      </c>
    </row>
    <row r="16" spans="1:16" x14ac:dyDescent="0.25">
      <c r="A16" s="4" t="s">
        <v>19</v>
      </c>
      <c r="B16" s="5" t="s">
        <v>20</v>
      </c>
      <c r="C16" s="5"/>
      <c r="D16" t="s">
        <v>12</v>
      </c>
      <c r="F16" s="6">
        <v>-9.4157142857142894E-3</v>
      </c>
      <c r="G16" s="6">
        <v>0.89449999999999996</v>
      </c>
      <c r="H16" s="6">
        <v>0.42648357142857141</v>
      </c>
    </row>
    <row r="17" spans="1:10" x14ac:dyDescent="0.25">
      <c r="A17" s="4"/>
      <c r="B17" s="5" t="s">
        <v>21</v>
      </c>
      <c r="C17" s="5"/>
      <c r="D17" t="s">
        <v>12</v>
      </c>
      <c r="F17" s="6">
        <v>0</v>
      </c>
      <c r="G17" s="6">
        <v>0.99209999999999998</v>
      </c>
      <c r="H17" s="6">
        <v>0.36214285714285716</v>
      </c>
    </row>
    <row r="18" spans="1:10" x14ac:dyDescent="0.25">
      <c r="A18" s="4"/>
      <c r="B18" s="5" t="s">
        <v>12</v>
      </c>
      <c r="C18" s="5"/>
      <c r="D18" t="s">
        <v>14</v>
      </c>
      <c r="F18" s="6"/>
      <c r="G18" s="6"/>
      <c r="H18" s="6">
        <v>7.0371699999999997</v>
      </c>
    </row>
    <row r="19" spans="1:10" x14ac:dyDescent="0.25">
      <c r="A19" s="4"/>
      <c r="B19" s="5" t="s">
        <v>22</v>
      </c>
      <c r="C19" s="5"/>
      <c r="D19" t="s">
        <v>23</v>
      </c>
      <c r="F19" s="6"/>
      <c r="G19" s="6"/>
      <c r="H19" s="6">
        <v>0</v>
      </c>
    </row>
    <row r="20" spans="1:10" x14ac:dyDescent="0.25">
      <c r="A20" s="4"/>
      <c r="B20" s="5" t="s">
        <v>24</v>
      </c>
      <c r="C20" s="5"/>
      <c r="D20" t="s">
        <v>23</v>
      </c>
      <c r="F20" s="6"/>
      <c r="G20" s="6"/>
      <c r="H20" s="6">
        <v>0</v>
      </c>
    </row>
    <row r="21" spans="1:10" x14ac:dyDescent="0.25">
      <c r="A21" s="4"/>
      <c r="B21" s="5" t="s">
        <v>25</v>
      </c>
      <c r="C21" s="5"/>
      <c r="D21" t="s">
        <v>12</v>
      </c>
      <c r="E21" t="s">
        <v>26</v>
      </c>
      <c r="F21" s="6"/>
      <c r="G21" s="6"/>
      <c r="H21" s="6">
        <v>0.15</v>
      </c>
    </row>
    <row r="22" spans="1:10" x14ac:dyDescent="0.25">
      <c r="A22" s="4"/>
      <c r="B22" s="5" t="s">
        <v>27</v>
      </c>
      <c r="C22" s="5"/>
      <c r="D22" t="s">
        <v>12</v>
      </c>
      <c r="E22" t="s">
        <v>28</v>
      </c>
      <c r="F22" s="6"/>
      <c r="G22" s="6"/>
      <c r="H22" s="6">
        <v>0.05</v>
      </c>
    </row>
    <row r="23" spans="1:10" x14ac:dyDescent="0.25">
      <c r="A23" s="4"/>
      <c r="B23" s="5" t="s">
        <v>29</v>
      </c>
      <c r="C23" s="5"/>
      <c r="D23" t="s">
        <v>14</v>
      </c>
      <c r="F23" s="6"/>
      <c r="G23" s="6"/>
      <c r="H23" s="6">
        <v>1.76</v>
      </c>
    </row>
    <row r="24" spans="1:10" x14ac:dyDescent="0.25">
      <c r="A24" s="4" t="s">
        <v>30</v>
      </c>
      <c r="B24" s="18" t="s">
        <v>11</v>
      </c>
      <c r="C24" s="5"/>
      <c r="D24" t="s">
        <v>12</v>
      </c>
      <c r="E24" t="s">
        <v>46</v>
      </c>
      <c r="F24" s="22">
        <v>0.13</v>
      </c>
      <c r="G24" s="22">
        <v>0.65</v>
      </c>
      <c r="H24" s="22">
        <v>0.24</v>
      </c>
      <c r="J24" s="18" t="s">
        <v>46</v>
      </c>
    </row>
    <row r="25" spans="1:10" x14ac:dyDescent="0.25">
      <c r="A25" s="4"/>
      <c r="B25" s="5" t="s">
        <v>13</v>
      </c>
      <c r="C25" s="5"/>
      <c r="D25" t="s">
        <v>12</v>
      </c>
      <c r="F25" s="6">
        <v>0.13</v>
      </c>
      <c r="G25" s="6">
        <v>0.91</v>
      </c>
      <c r="H25" s="6">
        <v>0.23</v>
      </c>
    </row>
    <row r="26" spans="1:10" x14ac:dyDescent="0.25">
      <c r="A26" s="4"/>
      <c r="B26" s="5" t="s">
        <v>12</v>
      </c>
      <c r="C26" s="5"/>
      <c r="D26" t="s">
        <v>14</v>
      </c>
      <c r="F26" s="6"/>
      <c r="G26" s="6"/>
      <c r="H26" s="6">
        <v>5.2778799999999997</v>
      </c>
    </row>
    <row r="27" spans="1:10" x14ac:dyDescent="0.25">
      <c r="A27" s="4" t="s">
        <v>31</v>
      </c>
      <c r="B27" s="17" t="s">
        <v>32</v>
      </c>
      <c r="C27" s="5"/>
      <c r="D27" t="s">
        <v>12</v>
      </c>
      <c r="E27" t="s">
        <v>47</v>
      </c>
      <c r="F27" s="20">
        <v>2.6557142857142869E-3</v>
      </c>
      <c r="G27" s="21">
        <v>0.62</v>
      </c>
      <c r="H27" s="21">
        <v>0.65</v>
      </c>
      <c r="J27" s="13" t="s">
        <v>47</v>
      </c>
    </row>
    <row r="28" spans="1:10" x14ac:dyDescent="0.25">
      <c r="A28" s="4"/>
      <c r="B28" s="17" t="s">
        <v>33</v>
      </c>
      <c r="C28" s="5"/>
      <c r="D28" t="s">
        <v>12</v>
      </c>
      <c r="E28" t="s">
        <v>47</v>
      </c>
      <c r="F28" s="20">
        <v>-5.5166428571428582E-2</v>
      </c>
      <c r="G28" s="21">
        <v>0.85</v>
      </c>
      <c r="H28" s="21">
        <v>0.19</v>
      </c>
      <c r="J28" s="13" t="s">
        <v>47</v>
      </c>
    </row>
    <row r="29" spans="1:10" x14ac:dyDescent="0.25">
      <c r="A29" s="4"/>
      <c r="B29" s="5" t="s">
        <v>34</v>
      </c>
      <c r="C29" s="5"/>
      <c r="D29" t="s">
        <v>14</v>
      </c>
      <c r="F29" s="6"/>
      <c r="G29" s="6"/>
      <c r="H29" s="6">
        <v>3.6529410000000002</v>
      </c>
    </row>
    <row r="30" spans="1:10" x14ac:dyDescent="0.25">
      <c r="A30" s="4"/>
      <c r="B30" s="5" t="s">
        <v>35</v>
      </c>
      <c r="C30" s="5"/>
      <c r="D30" t="s">
        <v>14</v>
      </c>
      <c r="F30" s="6"/>
      <c r="G30" s="6"/>
      <c r="H30" s="6">
        <v>4.3157700000000006</v>
      </c>
    </row>
    <row r="31" spans="1:10" x14ac:dyDescent="0.25">
      <c r="A31" s="4" t="s">
        <v>36</v>
      </c>
      <c r="B31" s="14" t="s">
        <v>37</v>
      </c>
      <c r="C31" s="5"/>
      <c r="D31" t="s">
        <v>12</v>
      </c>
      <c r="E31" t="s">
        <v>48</v>
      </c>
      <c r="F31" s="12"/>
      <c r="G31" s="12"/>
      <c r="H31" s="19">
        <v>0.1</v>
      </c>
      <c r="J31" s="14" t="s">
        <v>48</v>
      </c>
    </row>
    <row r="32" spans="1:10" x14ac:dyDescent="0.25">
      <c r="A32" s="4"/>
      <c r="B32" s="14" t="s">
        <v>38</v>
      </c>
      <c r="C32" s="5"/>
      <c r="D32" t="s">
        <v>12</v>
      </c>
      <c r="E32" t="s">
        <v>48</v>
      </c>
      <c r="F32" s="12"/>
      <c r="G32" s="12"/>
      <c r="H32" s="19">
        <v>-0.15</v>
      </c>
      <c r="J32" s="14" t="s">
        <v>48</v>
      </c>
    </row>
    <row r="33" spans="1:8" x14ac:dyDescent="0.25">
      <c r="A33" s="4" t="s">
        <v>39</v>
      </c>
      <c r="B33" s="8" t="s">
        <v>8</v>
      </c>
      <c r="C33" s="9"/>
      <c r="D33" s="9"/>
      <c r="E33" s="9"/>
      <c r="F33" s="9"/>
      <c r="G33" s="9"/>
      <c r="H33" s="15" t="s">
        <v>40</v>
      </c>
    </row>
    <row r="34" spans="1:8" x14ac:dyDescent="0.25">
      <c r="A34" s="4" t="s">
        <v>43</v>
      </c>
      <c r="B34" s="8" t="s">
        <v>8</v>
      </c>
      <c r="C34" s="9"/>
      <c r="D34" s="9"/>
      <c r="E34" s="8"/>
      <c r="F34" s="9"/>
      <c r="G34" s="9"/>
      <c r="H34" s="15" t="s">
        <v>44</v>
      </c>
    </row>
    <row r="35" spans="1:8" x14ac:dyDescent="0.25">
      <c r="A35" s="4" t="s">
        <v>45</v>
      </c>
      <c r="B35" s="8" t="s">
        <v>8</v>
      </c>
      <c r="C35" s="9"/>
      <c r="D35" s="9"/>
      <c r="E35" s="8"/>
      <c r="F35" s="9"/>
      <c r="G35" s="9"/>
      <c r="H35" s="15" t="s">
        <v>44</v>
      </c>
    </row>
  </sheetData>
  <conditionalFormatting sqref="A27">
    <cfRule type="cellIs" dxfId="4" priority="4" operator="equal">
      <formula>"class"</formula>
    </cfRule>
  </conditionalFormatting>
  <conditionalFormatting sqref="A33:A35">
    <cfRule type="cellIs" dxfId="3" priority="3" operator="equal">
      <formula>"class"</formula>
    </cfRule>
  </conditionalFormatting>
  <conditionalFormatting sqref="A27:B32">
    <cfRule type="cellIs" dxfId="2" priority="6" operator="equal">
      <formula>"class"</formula>
    </cfRule>
  </conditionalFormatting>
  <conditionalFormatting sqref="E27:E32">
    <cfRule type="cellIs" dxfId="1" priority="1" operator="equal">
      <formula>"class"</formula>
    </cfRule>
  </conditionalFormatting>
  <conditionalFormatting sqref="J31:J32">
    <cfRule type="cellIs" dxfId="0" priority="2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S2LAR_Sedan_HambaLG_f</vt:lpstr>
      <vt:lpstr>S2LAR_Sedan_HambaLG_r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2019-11-05T12:23:46Z</dcterms:created>
  <dcterms:modified xsi:type="dcterms:W3CDTF">2026-01-16T07:58:10Z</dcterms:modified>
</cp:coreProperties>
</file>