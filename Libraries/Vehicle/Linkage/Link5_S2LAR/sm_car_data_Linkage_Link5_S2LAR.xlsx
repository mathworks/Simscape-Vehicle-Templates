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Link5_S2LAR\"/>
    </mc:Choice>
  </mc:AlternateContent>
  <xr:revisionPtr revIDLastSave="0" documentId="13_ncr:1_{F95A90E2-7735-4D40-BAF9-199ECB7F7518}" xr6:coauthVersionLast="47" xr6:coauthVersionMax="47" xr10:uidLastSave="{00000000-0000-0000-0000-000000000000}"/>
  <bookViews>
    <workbookView xWindow="17025" yWindow="0" windowWidth="11880" windowHeight="15585" tabRatio="833" firstSheet="2" activeTab="3" xr2:uid="{8C42F24B-A2AD-4F52-B2E0-8CD89C371F5D}"/>
  </bookViews>
  <sheets>
    <sheet name="L5StoLAR_Sedan_HambaLG_f" sheetId="3" r:id="rId1"/>
    <sheet name="L5StoLAR_Sedan_HambaLG_r" sheetId="4" r:id="rId2"/>
    <sheet name="L5StoLAR_Sedan_Hamba_f" sheetId="5" r:id="rId3"/>
    <sheet name="L5StoLAR_Sedan_Hamba_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6" l="1"/>
  <c r="F29" i="6"/>
  <c r="H11" i="6"/>
  <c r="H7" i="6"/>
  <c r="H17" i="6"/>
  <c r="H14" i="6"/>
  <c r="F30" i="5"/>
  <c r="F29" i="5"/>
  <c r="H11" i="5"/>
  <c r="H7" i="5"/>
  <c r="H17" i="5"/>
  <c r="H14" i="5"/>
  <c r="H17" i="4" l="1"/>
  <c r="H14" i="4"/>
  <c r="F9" i="4"/>
  <c r="F6" i="4"/>
  <c r="H17" i="3"/>
  <c r="F16" i="3"/>
  <c r="H14" i="3"/>
  <c r="F13" i="3"/>
</calcChain>
</file>

<file path=xl/sharedStrings.xml><?xml version="1.0" encoding="utf-8"?>
<sst xmlns="http://schemas.openxmlformats.org/spreadsheetml/2006/main" count="416" uniqueCount="53">
  <si>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</si>
  <si>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</si>
  <si>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</si>
  <si>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</si>
  <si>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</si>
  <si>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</si>
  <si>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</si>
  <si>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</si>
  <si>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</si>
  <si>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FiveLinkShockRear</t>
  </si>
  <si>
    <t>LowerArmF</t>
  </si>
  <si>
    <t>sInboard</t>
  </si>
  <si>
    <t>m</t>
  </si>
  <si>
    <t>sOutboard</t>
  </si>
  <si>
    <t>kg</t>
  </si>
  <si>
    <t>LowerArmR</t>
  </si>
  <si>
    <t>UpperArmF</t>
  </si>
  <si>
    <t>UpperArmR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</si>
  <si>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</si>
  <si>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</si>
  <si>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</si>
  <si>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</si>
  <si>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</si>
  <si>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</si>
  <si>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</si>
  <si>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</si>
  <si>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</si>
  <si>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</si>
  <si>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</si>
  <si>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</si>
  <si>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</si>
  <si>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</si>
  <si>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</si>
  <si>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</si>
  <si>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</si>
  <si>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</si>
  <si>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</si>
  <si>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</si>
  <si>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FiveLinkShockRear_Sedan_HambaLG_r</t>
  </si>
  <si>
    <t>FiveLinkShockRear_Sedan_HambaLG_f</t>
  </si>
  <si>
    <t>FiveLinkShockRear_Sedan_Hamba_f</t>
  </si>
  <si>
    <t>FiveLinkShockRear_Sedan_Hamba_r</t>
  </si>
  <si>
    <t>UpperArmF to Subframe</t>
  </si>
  <si>
    <t>Rigid_UJ</t>
  </si>
  <si>
    <t>UpperArmR to Subframe</t>
  </si>
  <si>
    <t>LowerArmF to Subframe</t>
  </si>
  <si>
    <t>LowerArmR to Subframe</t>
  </si>
  <si>
    <t>Must  be consistent with steering rack outboard point</t>
  </si>
  <si>
    <t>Must be consistent with values in Spring, Damper</t>
  </si>
  <si>
    <t>Must be consistent with value in Dampers</t>
  </si>
  <si>
    <t>sARB</t>
  </si>
  <si>
    <t>Must be same as AntiRollBar.sSuspension for attachment to LowerArm</t>
  </si>
  <si>
    <t>Must be same as Linkage.Upright.sARB for attachment to Upright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</si>
</sst>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165" fontId="2" fillId="0" borderId="0" xfId="0" applyNumberFormat="1" applyFont="1"/>
    <xf numFmtId="0" fontId="0" fillId="4" borderId="0" xfId="0" applyFill="1" applyAlignment="1">
      <alignment horizontal="right"/>
    </xf>
    <xf numFmtId="2" fontId="2" fillId="5" borderId="0" xfId="0" applyNumberFormat="1" applyFont="1" applyFill="1"/>
    <xf numFmtId="2" fontId="2" fillId="6" borderId="0" xfId="0" applyNumberFormat="1" applyFont="1" applyFill="1"/>
    <xf numFmtId="164" fontId="2" fillId="6" borderId="0" xfId="0" applyNumberFormat="1" applyFont="1" applyFill="1"/>
    <xf numFmtId="2" fontId="2" fillId="7" borderId="0" xfId="0" applyNumberFormat="1" applyFont="1" applyFill="1"/>
    <xf numFmtId="2" fontId="2" fillId="8" borderId="0" xfId="0" applyNumberFormat="1" applyFont="1" applyFill="1"/>
    <xf numFmtId="0" fontId="0" fillId="8" borderId="0" xfId="0" applyFill="1"/>
  </cellXfs>
  <cellStyles count="1">
    <cellStyle name="Normal" xfId="0" builtinId="0"/>
  </cellStyles>
  <dxfs count="20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2B70-DA4E-4AA8-A1F6-18BD86B496AF}">
  <sheetPr>
    <tabColor theme="8" tint="-0.249977111117893"/>
  </sheetPr>
  <dimension ref="A1:P38"/>
  <sheetViews>
    <sheetView workbookViewId="0">
      <pane xSplit="3" ySplit="1" topLeftCell="D2" activePane="bottomRight" state="frozen"/>
      <selection activeCell="J15" sqref="J15"/>
      <selection pane="topRight" activeCell="J15" sqref="J15"/>
      <selection pane="bottomLeft" activeCell="J15" sqref="J15"/>
      <selection pane="bottomRight" activeCell="J5" sqref="J5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39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9</v>
      </c>
    </row>
    <row r="5" spans="1:16" x14ac:dyDescent="0.25">
      <c r="A5" s="4" t="s">
        <v>10</v>
      </c>
      <c r="B5" s="5" t="s">
        <v>11</v>
      </c>
      <c r="C5" s="5"/>
      <c r="D5" t="s">
        <v>12</v>
      </c>
      <c r="F5" s="6">
        <v>0.29913000000000006</v>
      </c>
      <c r="G5" s="6">
        <v>0.44059999999999999</v>
      </c>
      <c r="H5" s="6">
        <v>0.19097000000000003</v>
      </c>
    </row>
    <row r="6" spans="1:16" x14ac:dyDescent="0.25">
      <c r="A6" s="4"/>
      <c r="B6" s="5" t="s">
        <v>13</v>
      </c>
      <c r="C6" s="5"/>
      <c r="D6" t="s">
        <v>12</v>
      </c>
      <c r="F6" s="6">
        <v>7.0000000000000007E-2</v>
      </c>
      <c r="G6" s="6">
        <v>0.89710000000000001</v>
      </c>
      <c r="H6" s="6">
        <v>0.18855571428571433</v>
      </c>
    </row>
    <row r="7" spans="1:16" x14ac:dyDescent="0.25">
      <c r="A7" s="4"/>
      <c r="B7" s="5" t="s">
        <v>12</v>
      </c>
      <c r="C7" s="5"/>
      <c r="D7" t="s">
        <v>14</v>
      </c>
      <c r="F7" s="12"/>
      <c r="G7" s="6"/>
      <c r="H7" s="6">
        <v>2.9028299999999998</v>
      </c>
    </row>
    <row r="8" spans="1:16" x14ac:dyDescent="0.25">
      <c r="A8" s="4" t="s">
        <v>15</v>
      </c>
      <c r="B8" s="5" t="s">
        <v>11</v>
      </c>
      <c r="C8" s="5"/>
      <c r="D8" t="s">
        <v>12</v>
      </c>
      <c r="F8" s="6">
        <v>-0.18372714285714289</v>
      </c>
      <c r="G8" s="6">
        <v>0.44059999999999999</v>
      </c>
      <c r="H8" s="6">
        <v>0.2452914285714286</v>
      </c>
    </row>
    <row r="9" spans="1:16" x14ac:dyDescent="0.25">
      <c r="A9" s="4"/>
      <c r="B9" s="5" t="s">
        <v>13</v>
      </c>
      <c r="C9" s="5"/>
      <c r="D9" t="s">
        <v>12</v>
      </c>
      <c r="F9" s="6">
        <v>0.03</v>
      </c>
      <c r="G9" s="6">
        <v>0.89710000000000001</v>
      </c>
      <c r="H9" s="6">
        <v>0.18855571428571433</v>
      </c>
    </row>
    <row r="10" spans="1:16" x14ac:dyDescent="0.25">
      <c r="A10" s="4"/>
      <c r="B10" s="5" t="s">
        <v>50</v>
      </c>
      <c r="C10" s="5"/>
      <c r="D10" t="s">
        <v>12</v>
      </c>
      <c r="F10" s="24">
        <v>-0.05</v>
      </c>
      <c r="G10" s="24">
        <v>0.75</v>
      </c>
      <c r="H10" s="24">
        <v>0.15</v>
      </c>
      <c r="J10" s="25" t="s">
        <v>51</v>
      </c>
      <c r="K10" s="25"/>
      <c r="L10" s="25"/>
      <c r="M10" s="25"/>
      <c r="N10" s="25"/>
      <c r="O10" s="25"/>
      <c r="P10" s="25"/>
    </row>
    <row r="11" spans="1:16" x14ac:dyDescent="0.25">
      <c r="A11" s="4"/>
      <c r="B11" s="5" t="s">
        <v>12</v>
      </c>
      <c r="C11" s="5"/>
      <c r="D11" t="s">
        <v>14</v>
      </c>
      <c r="F11" s="12"/>
      <c r="G11" s="6"/>
      <c r="H11" s="6">
        <v>2.9028299999999998</v>
      </c>
    </row>
    <row r="12" spans="1:16" x14ac:dyDescent="0.25">
      <c r="A12" s="4" t="s">
        <v>16</v>
      </c>
      <c r="B12" s="5" t="s">
        <v>11</v>
      </c>
      <c r="C12" s="5"/>
      <c r="D12" t="s">
        <v>12</v>
      </c>
      <c r="F12" s="6">
        <v>0.16634428571428575</v>
      </c>
      <c r="G12" s="6">
        <v>0.63060000000000005</v>
      </c>
      <c r="H12" s="6">
        <v>0.53609214285714291</v>
      </c>
    </row>
    <row r="13" spans="1:16" x14ac:dyDescent="0.25">
      <c r="A13" s="4"/>
      <c r="B13" s="5" t="s">
        <v>13</v>
      </c>
      <c r="C13" s="5"/>
      <c r="D13" t="s">
        <v>12</v>
      </c>
      <c r="F13" s="6">
        <f>-0.03</f>
        <v>-0.03</v>
      </c>
      <c r="G13" s="6">
        <v>0.89280000000000004</v>
      </c>
      <c r="H13" s="6">
        <v>0.54321428571428576</v>
      </c>
    </row>
    <row r="14" spans="1:16" x14ac:dyDescent="0.25">
      <c r="A14" s="4"/>
      <c r="B14" s="5" t="s">
        <v>12</v>
      </c>
      <c r="C14" s="5"/>
      <c r="D14" t="s">
        <v>14</v>
      </c>
      <c r="F14" s="6"/>
      <c r="G14" s="6"/>
      <c r="H14" s="6">
        <f>5.27788/2</f>
        <v>2.6389399999999998</v>
      </c>
    </row>
    <row r="15" spans="1:16" x14ac:dyDescent="0.25">
      <c r="A15" s="4" t="s">
        <v>17</v>
      </c>
      <c r="B15" s="5" t="s">
        <v>11</v>
      </c>
      <c r="C15" s="5"/>
      <c r="D15" t="s">
        <v>12</v>
      </c>
      <c r="F15" s="6">
        <v>-0.18372714285714289</v>
      </c>
      <c r="G15" s="6">
        <v>0.63060000000000005</v>
      </c>
      <c r="H15" s="6">
        <v>0.51255285714285714</v>
      </c>
    </row>
    <row r="16" spans="1:16" x14ac:dyDescent="0.25">
      <c r="A16" s="4"/>
      <c r="B16" s="5" t="s">
        <v>13</v>
      </c>
      <c r="C16" s="5"/>
      <c r="D16" t="s">
        <v>12</v>
      </c>
      <c r="F16" s="6">
        <f>-0.07</f>
        <v>-7.0000000000000007E-2</v>
      </c>
      <c r="G16" s="6">
        <v>0.89280000000000004</v>
      </c>
      <c r="H16" s="6">
        <v>0.54321428571428576</v>
      </c>
    </row>
    <row r="17" spans="1:10" x14ac:dyDescent="0.25">
      <c r="A17" s="4"/>
      <c r="B17" s="5" t="s">
        <v>12</v>
      </c>
      <c r="C17" s="5"/>
      <c r="D17" t="s">
        <v>14</v>
      </c>
      <c r="F17" s="6"/>
      <c r="G17" s="6"/>
      <c r="H17" s="6">
        <f>5.27788/2</f>
        <v>2.6389399999999998</v>
      </c>
    </row>
    <row r="18" spans="1:10" x14ac:dyDescent="0.25">
      <c r="A18" s="4" t="s">
        <v>18</v>
      </c>
      <c r="B18" s="5" t="s">
        <v>19</v>
      </c>
      <c r="C18" s="5"/>
      <c r="D18" t="s">
        <v>12</v>
      </c>
      <c r="F18" s="6">
        <v>9.4157142857142894E-3</v>
      </c>
      <c r="G18" s="6">
        <v>0.89449999999999996</v>
      </c>
      <c r="H18" s="6">
        <v>0.42648357142857141</v>
      </c>
    </row>
    <row r="19" spans="1:10" x14ac:dyDescent="0.25">
      <c r="A19" s="4"/>
      <c r="B19" s="5" t="s">
        <v>20</v>
      </c>
      <c r="C19" s="5"/>
      <c r="D19" t="s">
        <v>12</v>
      </c>
      <c r="F19" s="6">
        <v>0</v>
      </c>
      <c r="G19" s="6">
        <v>0.99209999999999998</v>
      </c>
      <c r="H19" s="6">
        <v>0.36214285714285716</v>
      </c>
    </row>
    <row r="20" spans="1:10" x14ac:dyDescent="0.25">
      <c r="A20" s="4"/>
      <c r="B20" s="5" t="s">
        <v>12</v>
      </c>
      <c r="C20" s="5"/>
      <c r="D20" t="s">
        <v>14</v>
      </c>
      <c r="F20" s="6"/>
      <c r="G20" s="6"/>
      <c r="H20" s="6">
        <v>5.2778799999999997</v>
      </c>
    </row>
    <row r="21" spans="1:10" x14ac:dyDescent="0.25">
      <c r="A21" s="4"/>
      <c r="B21" s="5" t="s">
        <v>21</v>
      </c>
      <c r="C21" s="5"/>
      <c r="D21" t="s">
        <v>22</v>
      </c>
      <c r="F21" s="6"/>
      <c r="G21" s="6"/>
      <c r="H21" s="6">
        <v>0</v>
      </c>
    </row>
    <row r="22" spans="1:10" x14ac:dyDescent="0.25">
      <c r="A22" s="4"/>
      <c r="B22" s="5" t="s">
        <v>23</v>
      </c>
      <c r="C22" s="5"/>
      <c r="D22" t="s">
        <v>22</v>
      </c>
      <c r="F22" s="6"/>
      <c r="G22" s="6"/>
      <c r="H22" s="6">
        <v>0</v>
      </c>
    </row>
    <row r="23" spans="1:10" x14ac:dyDescent="0.25">
      <c r="A23" s="4"/>
      <c r="B23" s="5" t="s">
        <v>24</v>
      </c>
      <c r="C23" s="5"/>
      <c r="D23" t="s">
        <v>12</v>
      </c>
      <c r="E23" t="s">
        <v>25</v>
      </c>
      <c r="F23" s="6"/>
      <c r="G23" s="6"/>
      <c r="H23" s="6">
        <v>0.15</v>
      </c>
    </row>
    <row r="24" spans="1:10" x14ac:dyDescent="0.25">
      <c r="A24" s="4"/>
      <c r="B24" s="5" t="s">
        <v>26</v>
      </c>
      <c r="C24" s="5"/>
      <c r="D24" t="s">
        <v>12</v>
      </c>
      <c r="E24" t="s">
        <v>27</v>
      </c>
      <c r="F24" s="6"/>
      <c r="G24" s="6"/>
      <c r="H24" s="6">
        <v>0.05</v>
      </c>
    </row>
    <row r="25" spans="1:10" x14ac:dyDescent="0.25">
      <c r="A25" s="4"/>
      <c r="B25" s="5" t="s">
        <v>28</v>
      </c>
      <c r="C25" s="5"/>
      <c r="D25" t="s">
        <v>14</v>
      </c>
      <c r="F25" s="6"/>
      <c r="G25" s="6"/>
      <c r="H25" s="6">
        <v>1.76</v>
      </c>
    </row>
    <row r="26" spans="1:10" x14ac:dyDescent="0.25">
      <c r="A26" s="4" t="s">
        <v>29</v>
      </c>
      <c r="B26" s="13" t="s">
        <v>11</v>
      </c>
      <c r="C26" s="5"/>
      <c r="D26" t="s">
        <v>12</v>
      </c>
      <c r="E26" t="s">
        <v>47</v>
      </c>
      <c r="F26" s="20">
        <v>0.15379999999999999</v>
      </c>
      <c r="G26" s="20">
        <v>0.65</v>
      </c>
      <c r="H26" s="20">
        <v>0.24</v>
      </c>
      <c r="J26" s="13" t="s">
        <v>47</v>
      </c>
    </row>
    <row r="27" spans="1:10" x14ac:dyDescent="0.25">
      <c r="A27" s="4"/>
      <c r="B27" s="5" t="s">
        <v>13</v>
      </c>
      <c r="C27" s="5"/>
      <c r="D27" t="s">
        <v>12</v>
      </c>
      <c r="F27" s="6">
        <v>0.15379999999999999</v>
      </c>
      <c r="G27" s="6">
        <v>0.91</v>
      </c>
      <c r="H27" s="6">
        <v>0.23</v>
      </c>
    </row>
    <row r="28" spans="1:10" x14ac:dyDescent="0.25">
      <c r="A28" s="4"/>
      <c r="B28" s="5" t="s">
        <v>12</v>
      </c>
      <c r="C28" s="5"/>
      <c r="D28" t="s">
        <v>14</v>
      </c>
      <c r="F28" s="6"/>
      <c r="G28" s="6"/>
      <c r="H28" s="6">
        <v>5.2778799999999997</v>
      </c>
    </row>
    <row r="29" spans="1:10" x14ac:dyDescent="0.25">
      <c r="A29" s="4" t="s">
        <v>30</v>
      </c>
      <c r="B29" s="14" t="s">
        <v>31</v>
      </c>
      <c r="C29" s="5"/>
      <c r="D29" t="s">
        <v>12</v>
      </c>
      <c r="E29" t="s">
        <v>48</v>
      </c>
      <c r="F29" s="22">
        <v>-2.6557142857142869E-3</v>
      </c>
      <c r="G29" s="21">
        <v>0.62</v>
      </c>
      <c r="H29" s="21">
        <v>0.65</v>
      </c>
      <c r="J29" s="14" t="s">
        <v>48</v>
      </c>
    </row>
    <row r="30" spans="1:10" x14ac:dyDescent="0.25">
      <c r="A30" s="4"/>
      <c r="B30" s="14" t="s">
        <v>32</v>
      </c>
      <c r="C30" s="5"/>
      <c r="D30" t="s">
        <v>12</v>
      </c>
      <c r="E30" t="s">
        <v>48</v>
      </c>
      <c r="F30" s="22">
        <v>5.5166428571428582E-2</v>
      </c>
      <c r="G30" s="21">
        <v>0.85</v>
      </c>
      <c r="H30" s="21">
        <v>0.19</v>
      </c>
      <c r="J30" s="14" t="s">
        <v>48</v>
      </c>
    </row>
    <row r="31" spans="1:10" x14ac:dyDescent="0.25">
      <c r="A31" s="4"/>
      <c r="B31" s="5" t="s">
        <v>33</v>
      </c>
      <c r="C31" s="5"/>
      <c r="D31" t="s">
        <v>14</v>
      </c>
      <c r="F31" s="6"/>
      <c r="G31" s="6"/>
      <c r="H31" s="6">
        <v>3.6529410000000002</v>
      </c>
    </row>
    <row r="32" spans="1:10" x14ac:dyDescent="0.25">
      <c r="A32" s="4"/>
      <c r="B32" s="5" t="s">
        <v>34</v>
      </c>
      <c r="C32" s="5"/>
      <c r="D32" t="s">
        <v>14</v>
      </c>
      <c r="F32" s="6"/>
      <c r="G32" s="6"/>
      <c r="H32" s="6">
        <v>4.3157700000000006</v>
      </c>
    </row>
    <row r="33" spans="1:10" x14ac:dyDescent="0.25">
      <c r="A33" s="4" t="s">
        <v>35</v>
      </c>
      <c r="B33" s="15" t="s">
        <v>36</v>
      </c>
      <c r="C33" s="5"/>
      <c r="D33" t="s">
        <v>12</v>
      </c>
      <c r="E33" t="s">
        <v>49</v>
      </c>
      <c r="F33" s="12"/>
      <c r="G33" s="12"/>
      <c r="H33" s="23">
        <v>0.1</v>
      </c>
      <c r="J33" s="15" t="s">
        <v>49</v>
      </c>
    </row>
    <row r="34" spans="1:10" x14ac:dyDescent="0.25">
      <c r="A34" s="4"/>
      <c r="B34" s="15" t="s">
        <v>37</v>
      </c>
      <c r="C34" s="5"/>
      <c r="D34" t="s">
        <v>12</v>
      </c>
      <c r="E34" t="s">
        <v>49</v>
      </c>
      <c r="F34" s="12"/>
      <c r="G34" s="12"/>
      <c r="H34" s="23">
        <v>-0.15</v>
      </c>
      <c r="J34" s="15" t="s">
        <v>49</v>
      </c>
    </row>
    <row r="35" spans="1:10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9" t="s">
        <v>43</v>
      </c>
    </row>
    <row r="36" spans="1:10" x14ac:dyDescent="0.25">
      <c r="A36" s="4" t="s">
        <v>44</v>
      </c>
      <c r="B36" s="8" t="s">
        <v>8</v>
      </c>
      <c r="C36" s="9"/>
      <c r="D36" s="9"/>
      <c r="E36" s="8"/>
      <c r="F36" s="9"/>
      <c r="G36" s="9"/>
      <c r="H36" s="19" t="s">
        <v>43</v>
      </c>
    </row>
    <row r="37" spans="1:10" x14ac:dyDescent="0.25">
      <c r="A37" s="4" t="s">
        <v>45</v>
      </c>
      <c r="B37" s="8" t="s">
        <v>8</v>
      </c>
      <c r="C37" s="9"/>
      <c r="D37" s="9"/>
      <c r="E37" s="8"/>
      <c r="F37" s="9"/>
      <c r="G37" s="9"/>
      <c r="H37" s="19" t="s">
        <v>43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9" t="s">
        <v>43</v>
      </c>
    </row>
  </sheetData>
  <conditionalFormatting sqref="A29">
    <cfRule type="cellIs" dxfId="19" priority="4" operator="equal">
      <formula>"class"</formula>
    </cfRule>
  </conditionalFormatting>
  <conditionalFormatting sqref="A35:A38">
    <cfRule type="cellIs" dxfId="18" priority="3" operator="equal">
      <formula>"class"</formula>
    </cfRule>
  </conditionalFormatting>
  <conditionalFormatting sqref="A29:B34">
    <cfRule type="cellIs" dxfId="17" priority="5" operator="equal">
      <formula>"class"</formula>
    </cfRule>
  </conditionalFormatting>
  <conditionalFormatting sqref="E29:E34">
    <cfRule type="cellIs" dxfId="16" priority="1" operator="equal">
      <formula>"class"</formula>
    </cfRule>
  </conditionalFormatting>
  <conditionalFormatting sqref="J33:J34">
    <cfRule type="cellIs" dxfId="15" priority="2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6FA4-E166-46E6-A66B-4CD7AB209D8A}">
  <sheetPr>
    <tabColor theme="8" tint="-0.249977111117893"/>
  </sheetPr>
  <dimension ref="A1:P38"/>
  <sheetViews>
    <sheetView workbookViewId="0">
      <pane xSplit="3" ySplit="1" topLeftCell="D2" activePane="bottomRight" state="frozen"/>
      <selection activeCell="J15" sqref="J15"/>
      <selection pane="topRight" activeCell="J15" sqref="J15"/>
      <selection pane="bottomLeft" activeCell="J15" sqref="J15"/>
      <selection pane="bottomRight" activeCell="F8" sqref="F8:H9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38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9</v>
      </c>
    </row>
    <row r="5" spans="1:16" x14ac:dyDescent="0.25">
      <c r="A5" s="4" t="s">
        <v>10</v>
      </c>
      <c r="B5" s="5" t="s">
        <v>11</v>
      </c>
      <c r="C5" s="5"/>
      <c r="D5" t="s">
        <v>12</v>
      </c>
      <c r="F5" s="6">
        <v>0.18372714285714289</v>
      </c>
      <c r="G5" s="6">
        <v>0.44059999999999999</v>
      </c>
      <c r="H5" s="6">
        <v>0.2452914285714286</v>
      </c>
    </row>
    <row r="6" spans="1:16" x14ac:dyDescent="0.25">
      <c r="A6" s="4"/>
      <c r="B6" s="5" t="s">
        <v>13</v>
      </c>
      <c r="C6" s="5"/>
      <c r="D6" t="s">
        <v>12</v>
      </c>
      <c r="F6" s="6">
        <f>-0.03</f>
        <v>-0.03</v>
      </c>
      <c r="G6" s="6">
        <v>0.89710000000000001</v>
      </c>
      <c r="H6" s="6">
        <v>0.18855571428571433</v>
      </c>
    </row>
    <row r="7" spans="1:16" x14ac:dyDescent="0.25">
      <c r="A7" s="4"/>
      <c r="B7" s="5" t="s">
        <v>12</v>
      </c>
      <c r="C7" s="5"/>
      <c r="D7" t="s">
        <v>14</v>
      </c>
      <c r="F7" s="6"/>
      <c r="G7" s="6"/>
      <c r="H7" s="6">
        <v>2.9028299999999998</v>
      </c>
    </row>
    <row r="8" spans="1:16" x14ac:dyDescent="0.25">
      <c r="A8" s="4" t="s">
        <v>15</v>
      </c>
      <c r="B8" s="5" t="s">
        <v>11</v>
      </c>
      <c r="C8" s="5"/>
      <c r="D8" t="s">
        <v>12</v>
      </c>
      <c r="F8" s="6">
        <v>-0.29913000000000006</v>
      </c>
      <c r="G8" s="6">
        <v>0.44059999999999999</v>
      </c>
      <c r="H8" s="6">
        <v>0.19097000000000003</v>
      </c>
    </row>
    <row r="9" spans="1:16" x14ac:dyDescent="0.25">
      <c r="A9" s="4"/>
      <c r="B9" s="5" t="s">
        <v>13</v>
      </c>
      <c r="C9" s="5"/>
      <c r="D9" t="s">
        <v>12</v>
      </c>
      <c r="F9" s="6">
        <f>-0.07</f>
        <v>-7.0000000000000007E-2</v>
      </c>
      <c r="G9" s="6">
        <v>0.89710000000000001</v>
      </c>
      <c r="H9" s="6">
        <v>0.18855571428571433</v>
      </c>
    </row>
    <row r="10" spans="1:16" x14ac:dyDescent="0.25">
      <c r="A10" s="4"/>
      <c r="B10" s="5" t="s">
        <v>50</v>
      </c>
      <c r="C10" s="5"/>
      <c r="D10" t="s">
        <v>12</v>
      </c>
      <c r="F10" s="24">
        <v>0.05</v>
      </c>
      <c r="G10" s="24">
        <v>0.75</v>
      </c>
      <c r="H10" s="24">
        <v>0.15</v>
      </c>
      <c r="J10" s="25" t="s">
        <v>51</v>
      </c>
      <c r="K10" s="25"/>
      <c r="L10" s="25"/>
      <c r="M10" s="25"/>
      <c r="N10" s="25"/>
      <c r="O10" s="25"/>
      <c r="P10" s="25"/>
    </row>
    <row r="11" spans="1:16" x14ac:dyDescent="0.25">
      <c r="A11" s="4"/>
      <c r="B11" s="5" t="s">
        <v>12</v>
      </c>
      <c r="C11" s="5"/>
      <c r="D11" t="s">
        <v>14</v>
      </c>
      <c r="F11" s="12"/>
      <c r="G11" s="6"/>
      <c r="H11" s="6">
        <v>2.9028299999999998</v>
      </c>
    </row>
    <row r="12" spans="1:16" x14ac:dyDescent="0.25">
      <c r="A12" s="4" t="s">
        <v>16</v>
      </c>
      <c r="B12" s="5" t="s">
        <v>11</v>
      </c>
      <c r="C12" s="5"/>
      <c r="D12" t="s">
        <v>12</v>
      </c>
      <c r="F12" s="6">
        <v>0.18372714285714289</v>
      </c>
      <c r="G12" s="6">
        <v>0.63060000000000005</v>
      </c>
      <c r="H12" s="6">
        <v>0.51255285714285714</v>
      </c>
    </row>
    <row r="13" spans="1:16" x14ac:dyDescent="0.25">
      <c r="A13" s="4"/>
      <c r="B13" s="5" t="s">
        <v>13</v>
      </c>
      <c r="C13" s="5"/>
      <c r="D13" t="s">
        <v>12</v>
      </c>
      <c r="F13" s="6">
        <v>7.0000000000000007E-2</v>
      </c>
      <c r="G13" s="6">
        <v>0.89280000000000004</v>
      </c>
      <c r="H13" s="6">
        <v>0.54321428571428576</v>
      </c>
    </row>
    <row r="14" spans="1:16" x14ac:dyDescent="0.25">
      <c r="A14" s="4"/>
      <c r="B14" s="5" t="s">
        <v>12</v>
      </c>
      <c r="C14" s="5"/>
      <c r="D14" t="s">
        <v>14</v>
      </c>
      <c r="F14" s="6"/>
      <c r="G14" s="6"/>
      <c r="H14" s="6">
        <f>5.27788/2</f>
        <v>2.6389399999999998</v>
      </c>
    </row>
    <row r="15" spans="1:16" x14ac:dyDescent="0.25">
      <c r="A15" s="4" t="s">
        <v>17</v>
      </c>
      <c r="B15" s="5" t="s">
        <v>11</v>
      </c>
      <c r="C15" s="5"/>
      <c r="D15" t="s">
        <v>12</v>
      </c>
      <c r="F15" s="6">
        <v>-0.16634428571428575</v>
      </c>
      <c r="G15" s="6">
        <v>0.63060000000000005</v>
      </c>
      <c r="H15" s="6">
        <v>0.53609214285714291</v>
      </c>
    </row>
    <row r="16" spans="1:16" x14ac:dyDescent="0.25">
      <c r="A16" s="4"/>
      <c r="B16" s="5" t="s">
        <v>13</v>
      </c>
      <c r="C16" s="5"/>
      <c r="D16" t="s">
        <v>12</v>
      </c>
      <c r="F16" s="6">
        <v>0.03</v>
      </c>
      <c r="G16" s="6">
        <v>0.89280000000000004</v>
      </c>
      <c r="H16" s="6">
        <v>0.54321428571428576</v>
      </c>
    </row>
    <row r="17" spans="1:10" x14ac:dyDescent="0.25">
      <c r="A17" s="4"/>
      <c r="B17" s="5" t="s">
        <v>12</v>
      </c>
      <c r="C17" s="5"/>
      <c r="D17" t="s">
        <v>14</v>
      </c>
      <c r="F17" s="6"/>
      <c r="G17" s="6"/>
      <c r="H17" s="6">
        <f>5.27788/2</f>
        <v>2.6389399999999998</v>
      </c>
    </row>
    <row r="18" spans="1:10" x14ac:dyDescent="0.25">
      <c r="A18" s="4" t="s">
        <v>18</v>
      </c>
      <c r="B18" s="5" t="s">
        <v>19</v>
      </c>
      <c r="C18" s="5"/>
      <c r="D18" t="s">
        <v>12</v>
      </c>
      <c r="F18" s="6">
        <v>-9.4157142857142894E-3</v>
      </c>
      <c r="G18" s="6">
        <v>0.89449999999999996</v>
      </c>
      <c r="H18" s="6">
        <v>0.42648357142857141</v>
      </c>
    </row>
    <row r="19" spans="1:10" x14ac:dyDescent="0.25">
      <c r="A19" s="4"/>
      <c r="B19" s="5" t="s">
        <v>20</v>
      </c>
      <c r="C19" s="5"/>
      <c r="D19" t="s">
        <v>12</v>
      </c>
      <c r="F19" s="6">
        <v>0</v>
      </c>
      <c r="G19" s="6">
        <v>0.99209999999999998</v>
      </c>
      <c r="H19" s="6">
        <v>0.36214285714285716</v>
      </c>
    </row>
    <row r="20" spans="1:10" x14ac:dyDescent="0.25">
      <c r="A20" s="4"/>
      <c r="B20" s="5" t="s">
        <v>12</v>
      </c>
      <c r="C20" s="5"/>
      <c r="D20" t="s">
        <v>14</v>
      </c>
      <c r="F20" s="6"/>
      <c r="G20" s="6"/>
      <c r="H20" s="6">
        <v>7.0371699999999997</v>
      </c>
    </row>
    <row r="21" spans="1:10" x14ac:dyDescent="0.25">
      <c r="A21" s="4"/>
      <c r="B21" s="5" t="s">
        <v>21</v>
      </c>
      <c r="C21" s="5"/>
      <c r="D21" t="s">
        <v>22</v>
      </c>
      <c r="F21" s="6"/>
      <c r="G21" s="6"/>
      <c r="H21" s="6">
        <v>0</v>
      </c>
    </row>
    <row r="22" spans="1:10" x14ac:dyDescent="0.25">
      <c r="A22" s="4"/>
      <c r="B22" s="5" t="s">
        <v>23</v>
      </c>
      <c r="C22" s="5"/>
      <c r="D22" t="s">
        <v>22</v>
      </c>
      <c r="F22" s="6"/>
      <c r="G22" s="6"/>
      <c r="H22" s="6">
        <v>0</v>
      </c>
    </row>
    <row r="23" spans="1:10" x14ac:dyDescent="0.25">
      <c r="A23" s="4"/>
      <c r="B23" s="5" t="s">
        <v>24</v>
      </c>
      <c r="C23" s="5"/>
      <c r="D23" t="s">
        <v>12</v>
      </c>
      <c r="E23" t="s">
        <v>25</v>
      </c>
      <c r="F23" s="6"/>
      <c r="G23" s="6"/>
      <c r="H23" s="6">
        <v>0.15</v>
      </c>
    </row>
    <row r="24" spans="1:10" x14ac:dyDescent="0.25">
      <c r="A24" s="4"/>
      <c r="B24" s="5" t="s">
        <v>26</v>
      </c>
      <c r="C24" s="5"/>
      <c r="D24" t="s">
        <v>12</v>
      </c>
      <c r="E24" t="s">
        <v>27</v>
      </c>
      <c r="F24" s="6"/>
      <c r="G24" s="6"/>
      <c r="H24" s="6">
        <v>0.05</v>
      </c>
    </row>
    <row r="25" spans="1:10" x14ac:dyDescent="0.25">
      <c r="A25" s="4"/>
      <c r="B25" s="5" t="s">
        <v>28</v>
      </c>
      <c r="C25" s="5"/>
      <c r="D25" t="s">
        <v>14</v>
      </c>
      <c r="F25" s="6"/>
      <c r="G25" s="6"/>
      <c r="H25" s="6">
        <v>1.76</v>
      </c>
    </row>
    <row r="26" spans="1:10" x14ac:dyDescent="0.25">
      <c r="A26" s="4" t="s">
        <v>29</v>
      </c>
      <c r="B26" s="13" t="s">
        <v>11</v>
      </c>
      <c r="C26" s="5"/>
      <c r="D26" t="s">
        <v>12</v>
      </c>
      <c r="E26" t="s">
        <v>47</v>
      </c>
      <c r="F26" s="20">
        <v>0.13</v>
      </c>
      <c r="G26" s="20">
        <v>0.65</v>
      </c>
      <c r="H26" s="20">
        <v>0.24</v>
      </c>
      <c r="J26" s="13" t="s">
        <v>47</v>
      </c>
    </row>
    <row r="27" spans="1:10" x14ac:dyDescent="0.25">
      <c r="A27" s="4"/>
      <c r="B27" s="5" t="s">
        <v>13</v>
      </c>
      <c r="C27" s="5"/>
      <c r="D27" t="s">
        <v>12</v>
      </c>
      <c r="F27" s="6">
        <v>0.13</v>
      </c>
      <c r="G27" s="6">
        <v>0.91</v>
      </c>
      <c r="H27" s="6">
        <v>0.23</v>
      </c>
    </row>
    <row r="28" spans="1:10" x14ac:dyDescent="0.25">
      <c r="A28" s="4"/>
      <c r="B28" s="5" t="s">
        <v>12</v>
      </c>
      <c r="C28" s="5"/>
      <c r="D28" t="s">
        <v>14</v>
      </c>
      <c r="F28" s="6"/>
      <c r="G28" s="6"/>
      <c r="H28" s="6">
        <v>5.2778799999999997</v>
      </c>
    </row>
    <row r="29" spans="1:10" x14ac:dyDescent="0.25">
      <c r="A29" s="4" t="s">
        <v>30</v>
      </c>
      <c r="B29" s="17" t="s">
        <v>31</v>
      </c>
      <c r="C29" s="5"/>
      <c r="D29" t="s">
        <v>12</v>
      </c>
      <c r="E29" t="s">
        <v>48</v>
      </c>
      <c r="F29" s="21">
        <v>2.6557142857142869E-3</v>
      </c>
      <c r="G29" s="21">
        <v>0.62</v>
      </c>
      <c r="H29" s="21">
        <v>0.65</v>
      </c>
      <c r="J29" s="14" t="s">
        <v>48</v>
      </c>
    </row>
    <row r="30" spans="1:10" x14ac:dyDescent="0.25">
      <c r="A30" s="4"/>
      <c r="B30" s="17" t="s">
        <v>32</v>
      </c>
      <c r="C30" s="5"/>
      <c r="D30" t="s">
        <v>12</v>
      </c>
      <c r="E30" t="s">
        <v>48</v>
      </c>
      <c r="F30" s="21">
        <v>-5.5166428571428582E-2</v>
      </c>
      <c r="G30" s="21">
        <v>0.85</v>
      </c>
      <c r="H30" s="21">
        <v>0.19</v>
      </c>
      <c r="J30" s="14" t="s">
        <v>48</v>
      </c>
    </row>
    <row r="31" spans="1:10" x14ac:dyDescent="0.25">
      <c r="A31" s="4"/>
      <c r="B31" s="5" t="s">
        <v>33</v>
      </c>
      <c r="C31" s="5"/>
      <c r="D31" t="s">
        <v>14</v>
      </c>
      <c r="F31" s="6"/>
      <c r="G31" s="6"/>
      <c r="H31" s="6">
        <v>3.6529410000000002</v>
      </c>
    </row>
    <row r="32" spans="1:10" x14ac:dyDescent="0.25">
      <c r="A32" s="4"/>
      <c r="B32" s="5" t="s">
        <v>34</v>
      </c>
      <c r="C32" s="5"/>
      <c r="D32" t="s">
        <v>14</v>
      </c>
      <c r="F32" s="6"/>
      <c r="G32" s="6"/>
      <c r="H32" s="6">
        <v>4.3157700000000006</v>
      </c>
    </row>
    <row r="33" spans="1:10" x14ac:dyDescent="0.25">
      <c r="A33" s="4" t="s">
        <v>35</v>
      </c>
      <c r="B33" s="15" t="s">
        <v>36</v>
      </c>
      <c r="C33" s="5"/>
      <c r="D33" t="s">
        <v>12</v>
      </c>
      <c r="E33" t="s">
        <v>49</v>
      </c>
      <c r="F33" s="12"/>
      <c r="G33" s="12"/>
      <c r="H33" s="23">
        <v>0.1</v>
      </c>
      <c r="J33" s="15" t="s">
        <v>49</v>
      </c>
    </row>
    <row r="34" spans="1:10" x14ac:dyDescent="0.25">
      <c r="A34" s="4"/>
      <c r="B34" s="15" t="s">
        <v>37</v>
      </c>
      <c r="C34" s="5"/>
      <c r="D34" t="s">
        <v>12</v>
      </c>
      <c r="E34" t="s">
        <v>49</v>
      </c>
      <c r="F34" s="12"/>
      <c r="G34" s="12"/>
      <c r="H34" s="23">
        <v>-0.15</v>
      </c>
      <c r="J34" s="15" t="s">
        <v>49</v>
      </c>
    </row>
    <row r="35" spans="1:10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9" t="s">
        <v>43</v>
      </c>
    </row>
    <row r="36" spans="1:10" x14ac:dyDescent="0.25">
      <c r="A36" s="4" t="s">
        <v>44</v>
      </c>
      <c r="B36" s="8" t="s">
        <v>8</v>
      </c>
      <c r="C36" s="9"/>
      <c r="D36" s="9"/>
      <c r="E36" s="8"/>
      <c r="F36" s="9"/>
      <c r="G36" s="9"/>
      <c r="H36" s="19" t="s">
        <v>43</v>
      </c>
    </row>
    <row r="37" spans="1:10" x14ac:dyDescent="0.25">
      <c r="A37" s="4" t="s">
        <v>45</v>
      </c>
      <c r="B37" s="8" t="s">
        <v>8</v>
      </c>
      <c r="C37" s="9"/>
      <c r="D37" s="9"/>
      <c r="E37" s="8"/>
      <c r="F37" s="9"/>
      <c r="G37" s="9"/>
      <c r="H37" s="19" t="s">
        <v>43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9" t="s">
        <v>43</v>
      </c>
    </row>
  </sheetData>
  <conditionalFormatting sqref="A29">
    <cfRule type="cellIs" dxfId="14" priority="4" operator="equal">
      <formula>"class"</formula>
    </cfRule>
  </conditionalFormatting>
  <conditionalFormatting sqref="A35:A38">
    <cfRule type="cellIs" dxfId="13" priority="3" operator="equal">
      <formula>"class"</formula>
    </cfRule>
  </conditionalFormatting>
  <conditionalFormatting sqref="A29:B34">
    <cfRule type="cellIs" dxfId="12" priority="5" operator="equal">
      <formula>"class"</formula>
    </cfRule>
  </conditionalFormatting>
  <conditionalFormatting sqref="E29:E34">
    <cfRule type="cellIs" dxfId="11" priority="1" operator="equal">
      <formula>"class"</formula>
    </cfRule>
  </conditionalFormatting>
  <conditionalFormatting sqref="J33:J34">
    <cfRule type="cellIs" dxfId="10" priority="2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0F1D-A7D2-406F-B34B-A208F2C350FD}">
  <sheetPr>
    <tabColor theme="8" tint="-0.249977111117893"/>
  </sheetPr>
  <dimension ref="A1:P38"/>
  <sheetViews>
    <sheetView workbookViewId="0">
      <pane xSplit="3" ySplit="1" topLeftCell="D2" activePane="bottomRight" state="frozen"/>
      <selection activeCell="J15" sqref="J15"/>
      <selection pane="topRight" activeCell="J15" sqref="J15"/>
      <selection pane="bottomLeft" activeCell="J15" sqref="J15"/>
      <selection pane="bottomRight" activeCell="H33" sqref="H33:H34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40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9</v>
      </c>
    </row>
    <row r="5" spans="1:16" x14ac:dyDescent="0.25">
      <c r="A5" s="4" t="s">
        <v>10</v>
      </c>
      <c r="B5" s="5" t="s">
        <v>11</v>
      </c>
      <c r="C5" s="5"/>
      <c r="D5" t="s">
        <v>12</v>
      </c>
      <c r="F5" s="6">
        <v>0.22500000000000001</v>
      </c>
      <c r="G5" s="6">
        <v>0.30599999999999999</v>
      </c>
      <c r="H5" s="6">
        <v>0.15</v>
      </c>
    </row>
    <row r="6" spans="1:16" x14ac:dyDescent="0.25">
      <c r="A6" s="4"/>
      <c r="B6" s="5" t="s">
        <v>13</v>
      </c>
      <c r="C6" s="5"/>
      <c r="D6" t="s">
        <v>12</v>
      </c>
      <c r="F6" s="6">
        <v>0.04</v>
      </c>
      <c r="G6" s="6">
        <v>0.76600000000000001</v>
      </c>
      <c r="H6" s="6">
        <v>0.15</v>
      </c>
    </row>
    <row r="7" spans="1:16" x14ac:dyDescent="0.25">
      <c r="A7" s="4"/>
      <c r="B7" s="5" t="s">
        <v>12</v>
      </c>
      <c r="C7" s="5"/>
      <c r="D7" t="s">
        <v>14</v>
      </c>
      <c r="F7" s="12"/>
      <c r="G7" s="6"/>
      <c r="H7" s="6">
        <f>5.80566/2</f>
        <v>2.9028299999999998</v>
      </c>
    </row>
    <row r="8" spans="1:16" x14ac:dyDescent="0.25">
      <c r="A8" s="4" t="s">
        <v>15</v>
      </c>
      <c r="B8" s="5" t="s">
        <v>11</v>
      </c>
      <c r="C8" s="5"/>
      <c r="D8" t="s">
        <v>12</v>
      </c>
      <c r="F8" s="6">
        <v>-0.125</v>
      </c>
      <c r="G8" s="6">
        <v>0.30599999999999999</v>
      </c>
      <c r="H8" s="6">
        <v>0.15</v>
      </c>
    </row>
    <row r="9" spans="1:16" x14ac:dyDescent="0.25">
      <c r="A9" s="4"/>
      <c r="B9" s="5" t="s">
        <v>13</v>
      </c>
      <c r="C9" s="5"/>
      <c r="D9" t="s">
        <v>12</v>
      </c>
      <c r="F9" s="6">
        <v>-0.01</v>
      </c>
      <c r="G9" s="6">
        <v>0.76600000000000001</v>
      </c>
      <c r="H9" s="6">
        <v>0.15</v>
      </c>
    </row>
    <row r="10" spans="1:16" x14ac:dyDescent="0.25">
      <c r="A10" s="4"/>
      <c r="B10" s="5" t="s">
        <v>50</v>
      </c>
      <c r="C10" s="5"/>
      <c r="D10" t="s">
        <v>12</v>
      </c>
      <c r="F10" s="24">
        <v>-0.05</v>
      </c>
      <c r="G10" s="24">
        <v>0.6</v>
      </c>
      <c r="H10" s="24">
        <v>0.15</v>
      </c>
      <c r="J10" s="25" t="s">
        <v>51</v>
      </c>
      <c r="K10" s="25"/>
      <c r="L10" s="25"/>
      <c r="M10" s="25"/>
      <c r="N10" s="25"/>
      <c r="O10" s="25"/>
      <c r="P10" s="25"/>
    </row>
    <row r="11" spans="1:16" x14ac:dyDescent="0.25">
      <c r="A11" s="4"/>
      <c r="B11" s="5" t="s">
        <v>12</v>
      </c>
      <c r="C11" s="5"/>
      <c r="D11" t="s">
        <v>14</v>
      </c>
      <c r="F11" s="12"/>
      <c r="G11" s="6"/>
      <c r="H11" s="6">
        <f>5.80566/2</f>
        <v>2.9028299999999998</v>
      </c>
    </row>
    <row r="12" spans="1:16" x14ac:dyDescent="0.25">
      <c r="A12" s="4" t="s">
        <v>16</v>
      </c>
      <c r="B12" s="5" t="s">
        <v>11</v>
      </c>
      <c r="C12" s="5"/>
      <c r="D12" t="s">
        <v>12</v>
      </c>
      <c r="F12" s="6">
        <v>0.1</v>
      </c>
      <c r="G12" s="6">
        <v>0.45100000000000001</v>
      </c>
      <c r="H12" s="6">
        <v>0.43</v>
      </c>
    </row>
    <row r="13" spans="1:16" x14ac:dyDescent="0.25">
      <c r="A13" s="4"/>
      <c r="B13" s="5" t="s">
        <v>13</v>
      </c>
      <c r="C13" s="5"/>
      <c r="D13" t="s">
        <v>12</v>
      </c>
      <c r="F13" s="6">
        <v>-0.02</v>
      </c>
      <c r="G13" s="6">
        <v>0.68720000000000003</v>
      </c>
      <c r="H13" s="6">
        <v>0.45</v>
      </c>
    </row>
    <row r="14" spans="1:16" x14ac:dyDescent="0.25">
      <c r="A14" s="4"/>
      <c r="B14" s="5" t="s">
        <v>12</v>
      </c>
      <c r="C14" s="5"/>
      <c r="D14" t="s">
        <v>14</v>
      </c>
      <c r="F14" s="6"/>
      <c r="G14" s="6"/>
      <c r="H14" s="6">
        <f>5.27788/2</f>
        <v>2.6389399999999998</v>
      </c>
    </row>
    <row r="15" spans="1:16" x14ac:dyDescent="0.25">
      <c r="A15" s="4" t="s">
        <v>17</v>
      </c>
      <c r="B15" s="5" t="s">
        <v>11</v>
      </c>
      <c r="C15" s="5"/>
      <c r="D15" t="s">
        <v>12</v>
      </c>
      <c r="F15" s="6">
        <v>-0.105</v>
      </c>
      <c r="G15" s="6">
        <v>0.45100000000000001</v>
      </c>
      <c r="H15" s="6">
        <v>0.41</v>
      </c>
    </row>
    <row r="16" spans="1:16" x14ac:dyDescent="0.25">
      <c r="A16" s="4"/>
      <c r="B16" s="5" t="s">
        <v>13</v>
      </c>
      <c r="C16" s="5"/>
      <c r="D16" t="s">
        <v>12</v>
      </c>
      <c r="F16" s="6">
        <v>-0.06</v>
      </c>
      <c r="G16" s="6">
        <v>0.68720000000000003</v>
      </c>
      <c r="H16" s="6">
        <v>0.45</v>
      </c>
    </row>
    <row r="17" spans="1:10" x14ac:dyDescent="0.25">
      <c r="A17" s="4"/>
      <c r="B17" s="5" t="s">
        <v>12</v>
      </c>
      <c r="C17" s="5"/>
      <c r="D17" t="s">
        <v>14</v>
      </c>
      <c r="F17" s="6"/>
      <c r="G17" s="6"/>
      <c r="H17" s="6">
        <f>5.27788/2</f>
        <v>2.6389399999999998</v>
      </c>
    </row>
    <row r="18" spans="1:10" x14ac:dyDescent="0.25">
      <c r="A18" s="4" t="s">
        <v>18</v>
      </c>
      <c r="B18" s="5" t="s">
        <v>19</v>
      </c>
      <c r="C18" s="5"/>
      <c r="D18" t="s">
        <v>12</v>
      </c>
      <c r="F18" s="6">
        <v>0</v>
      </c>
      <c r="G18" s="6">
        <v>0.73</v>
      </c>
      <c r="H18" s="6">
        <v>0.33</v>
      </c>
    </row>
    <row r="19" spans="1:10" x14ac:dyDescent="0.25">
      <c r="A19" s="4"/>
      <c r="B19" s="5" t="s">
        <v>20</v>
      </c>
      <c r="C19" s="5"/>
      <c r="D19" t="s">
        <v>12</v>
      </c>
      <c r="F19" s="6">
        <v>0</v>
      </c>
      <c r="G19" s="18">
        <v>0.78749999999999998</v>
      </c>
      <c r="H19" s="6">
        <v>0.33</v>
      </c>
    </row>
    <row r="20" spans="1:10" x14ac:dyDescent="0.25">
      <c r="A20" s="4"/>
      <c r="B20" s="5" t="s">
        <v>12</v>
      </c>
      <c r="C20" s="5"/>
      <c r="D20" t="s">
        <v>14</v>
      </c>
      <c r="F20" s="6"/>
      <c r="G20" s="6"/>
      <c r="H20" s="6">
        <v>5.2778799999999997</v>
      </c>
    </row>
    <row r="21" spans="1:10" x14ac:dyDescent="0.25">
      <c r="A21" s="4"/>
      <c r="B21" s="5" t="s">
        <v>21</v>
      </c>
      <c r="C21" s="5"/>
      <c r="D21" t="s">
        <v>22</v>
      </c>
      <c r="F21" s="6"/>
      <c r="G21" s="6"/>
      <c r="H21" s="6">
        <v>0</v>
      </c>
    </row>
    <row r="22" spans="1:10" x14ac:dyDescent="0.25">
      <c r="A22" s="4"/>
      <c r="B22" s="5" t="s">
        <v>23</v>
      </c>
      <c r="C22" s="5"/>
      <c r="D22" t="s">
        <v>22</v>
      </c>
      <c r="F22" s="6"/>
      <c r="G22" s="6"/>
      <c r="H22" s="6">
        <v>0</v>
      </c>
    </row>
    <row r="23" spans="1:10" x14ac:dyDescent="0.25">
      <c r="A23" s="4"/>
      <c r="B23" s="5" t="s">
        <v>24</v>
      </c>
      <c r="C23" s="5"/>
      <c r="D23" t="s">
        <v>12</v>
      </c>
      <c r="E23" t="s">
        <v>25</v>
      </c>
      <c r="F23" s="6"/>
      <c r="G23" s="6"/>
      <c r="H23" s="6">
        <v>0.15</v>
      </c>
    </row>
    <row r="24" spans="1:10" x14ac:dyDescent="0.25">
      <c r="A24" s="4"/>
      <c r="B24" s="5" t="s">
        <v>26</v>
      </c>
      <c r="C24" s="5"/>
      <c r="D24" t="s">
        <v>12</v>
      </c>
      <c r="E24" t="s">
        <v>27</v>
      </c>
      <c r="F24" s="6"/>
      <c r="G24" s="6"/>
      <c r="H24" s="6">
        <v>0.05</v>
      </c>
    </row>
    <row r="25" spans="1:10" x14ac:dyDescent="0.25">
      <c r="A25" s="4"/>
      <c r="B25" s="5" t="s">
        <v>28</v>
      </c>
      <c r="C25" s="5"/>
      <c r="D25" t="s">
        <v>14</v>
      </c>
      <c r="F25" s="6"/>
      <c r="G25" s="6"/>
      <c r="H25" s="6">
        <v>1.76</v>
      </c>
    </row>
    <row r="26" spans="1:10" x14ac:dyDescent="0.25">
      <c r="A26" s="4" t="s">
        <v>29</v>
      </c>
      <c r="B26" s="13" t="s">
        <v>11</v>
      </c>
      <c r="C26" s="5"/>
      <c r="D26" t="s">
        <v>12</v>
      </c>
      <c r="E26" t="s">
        <v>47</v>
      </c>
      <c r="F26" s="20">
        <v>0.13708300000000001</v>
      </c>
      <c r="G26" s="20">
        <v>0.439</v>
      </c>
      <c r="H26" s="20">
        <v>0.20499999999999999</v>
      </c>
      <c r="J26" s="13" t="s">
        <v>47</v>
      </c>
    </row>
    <row r="27" spans="1:10" x14ac:dyDescent="0.25">
      <c r="A27" s="4"/>
      <c r="B27" s="5" t="s">
        <v>13</v>
      </c>
      <c r="C27" s="5"/>
      <c r="D27" t="s">
        <v>12</v>
      </c>
      <c r="F27" s="6">
        <v>0.14208299999999999</v>
      </c>
      <c r="G27" s="6">
        <v>0.78900000000000003</v>
      </c>
      <c r="H27" s="6">
        <v>0.185</v>
      </c>
    </row>
    <row r="28" spans="1:10" x14ac:dyDescent="0.25">
      <c r="A28" s="4"/>
      <c r="B28" s="5" t="s">
        <v>12</v>
      </c>
      <c r="C28" s="5"/>
      <c r="D28" t="s">
        <v>14</v>
      </c>
      <c r="F28" s="6"/>
      <c r="G28" s="6"/>
      <c r="H28" s="6">
        <v>5.2778799999999997</v>
      </c>
    </row>
    <row r="29" spans="1:10" x14ac:dyDescent="0.25">
      <c r="A29" s="4" t="s">
        <v>30</v>
      </c>
      <c r="B29" s="14" t="s">
        <v>31</v>
      </c>
      <c r="C29" s="5"/>
      <c r="D29" t="s">
        <v>12</v>
      </c>
      <c r="E29" t="s">
        <v>48</v>
      </c>
      <c r="F29" s="22">
        <f>-0.000217+0.05</f>
        <v>4.9783000000000001E-2</v>
      </c>
      <c r="G29" s="22">
        <v>0.49198500000000001</v>
      </c>
      <c r="H29" s="22">
        <v>0.52585999999999999</v>
      </c>
      <c r="J29" s="14" t="s">
        <v>48</v>
      </c>
    </row>
    <row r="30" spans="1:10" x14ac:dyDescent="0.25">
      <c r="A30" s="4"/>
      <c r="B30" s="14" t="s">
        <v>32</v>
      </c>
      <c r="C30" s="5"/>
      <c r="D30" t="s">
        <v>12</v>
      </c>
      <c r="E30" t="s">
        <v>48</v>
      </c>
      <c r="F30" s="22">
        <f>-0.000217+0.05</f>
        <v>4.9783000000000001E-2</v>
      </c>
      <c r="G30" s="22">
        <v>0.71599999999999997</v>
      </c>
      <c r="H30" s="22">
        <v>0.15</v>
      </c>
      <c r="J30" s="14" t="s">
        <v>48</v>
      </c>
    </row>
    <row r="31" spans="1:10" x14ac:dyDescent="0.25">
      <c r="A31" s="4"/>
      <c r="B31" s="5" t="s">
        <v>33</v>
      </c>
      <c r="C31" s="5"/>
      <c r="D31" t="s">
        <v>14</v>
      </c>
      <c r="F31" s="6"/>
      <c r="G31" s="6"/>
      <c r="H31" s="6">
        <v>3.6529410000000002</v>
      </c>
    </row>
    <row r="32" spans="1:10" x14ac:dyDescent="0.25">
      <c r="A32" s="4"/>
      <c r="B32" s="5" t="s">
        <v>34</v>
      </c>
      <c r="C32" s="5"/>
      <c r="D32" t="s">
        <v>14</v>
      </c>
      <c r="F32" s="6"/>
      <c r="G32" s="6"/>
      <c r="H32" s="6">
        <v>4.3157700000000006</v>
      </c>
    </row>
    <row r="33" spans="1:10" x14ac:dyDescent="0.25">
      <c r="A33" s="4" t="s">
        <v>35</v>
      </c>
      <c r="B33" s="15" t="s">
        <v>36</v>
      </c>
      <c r="C33" s="5"/>
      <c r="D33" t="s">
        <v>12</v>
      </c>
      <c r="E33" t="s">
        <v>49</v>
      </c>
      <c r="F33" s="12"/>
      <c r="G33" s="12"/>
      <c r="H33" s="23">
        <v>0.1</v>
      </c>
      <c r="J33" s="15" t="s">
        <v>49</v>
      </c>
    </row>
    <row r="34" spans="1:10" x14ac:dyDescent="0.25">
      <c r="A34" s="4"/>
      <c r="B34" s="15" t="s">
        <v>37</v>
      </c>
      <c r="C34" s="5"/>
      <c r="D34" t="s">
        <v>12</v>
      </c>
      <c r="E34" t="s">
        <v>49</v>
      </c>
      <c r="F34" s="12"/>
      <c r="G34" s="12"/>
      <c r="H34" s="23">
        <v>-0.1</v>
      </c>
      <c r="J34" s="15" t="s">
        <v>49</v>
      </c>
    </row>
    <row r="35" spans="1:10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9" t="s">
        <v>43</v>
      </c>
    </row>
    <row r="36" spans="1:10" x14ac:dyDescent="0.25">
      <c r="A36" s="4" t="s">
        <v>44</v>
      </c>
      <c r="B36" s="8" t="s">
        <v>8</v>
      </c>
      <c r="C36" s="9"/>
      <c r="D36" s="9"/>
      <c r="E36" s="8"/>
      <c r="F36" s="9"/>
      <c r="G36" s="9"/>
      <c r="H36" s="19" t="s">
        <v>43</v>
      </c>
    </row>
    <row r="37" spans="1:10" x14ac:dyDescent="0.25">
      <c r="A37" s="4" t="s">
        <v>45</v>
      </c>
      <c r="B37" s="8" t="s">
        <v>8</v>
      </c>
      <c r="C37" s="9"/>
      <c r="D37" s="9"/>
      <c r="E37" s="8"/>
      <c r="F37" s="9"/>
      <c r="G37" s="9"/>
      <c r="H37" s="19" t="s">
        <v>43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9" t="s">
        <v>43</v>
      </c>
    </row>
  </sheetData>
  <conditionalFormatting sqref="A29">
    <cfRule type="cellIs" dxfId="9" priority="4" operator="equal">
      <formula>"class"</formula>
    </cfRule>
  </conditionalFormatting>
  <conditionalFormatting sqref="A35:A38">
    <cfRule type="cellIs" dxfId="8" priority="3" operator="equal">
      <formula>"class"</formula>
    </cfRule>
  </conditionalFormatting>
  <conditionalFormatting sqref="A29:B34">
    <cfRule type="cellIs" dxfId="7" priority="5" operator="equal">
      <formula>"class"</formula>
    </cfRule>
  </conditionalFormatting>
  <conditionalFormatting sqref="E29:E34">
    <cfRule type="cellIs" dxfId="6" priority="1" operator="equal">
      <formula>"class"</formula>
    </cfRule>
  </conditionalFormatting>
  <conditionalFormatting sqref="J33:J34">
    <cfRule type="cellIs" dxfId="5" priority="2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872E-27B7-4CB5-B51B-45B406A577BC}">
  <sheetPr>
    <tabColor theme="8" tint="-0.249977111117893"/>
  </sheetPr>
  <dimension ref="A1:P38"/>
  <sheetViews>
    <sheetView tabSelected="1" workbookViewId="0">
      <pane xSplit="3" ySplit="1" topLeftCell="D2" activePane="bottomRight" state="frozen"/>
      <selection activeCell="J5" sqref="J5"/>
      <selection pane="topRight" activeCell="J5" sqref="J5"/>
      <selection pane="bottomLeft" activeCell="J5" sqref="J5"/>
      <selection pane="bottomRight" activeCell="E15" sqref="E15"/>
    </sheetView>
  </sheetViews>
  <sheetFormatPr defaultRowHeight="15" x14ac:dyDescent="0.25"/>
  <cols>
    <col min="1" max="1" width="23" style="16" bestFit="1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41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9</v>
      </c>
    </row>
    <row r="5" spans="1:16" x14ac:dyDescent="0.25">
      <c r="A5" s="4" t="s">
        <v>10</v>
      </c>
      <c r="B5" s="5" t="s">
        <v>11</v>
      </c>
      <c r="C5" s="5"/>
      <c r="D5" t="s">
        <v>12</v>
      </c>
      <c r="F5" s="6">
        <v>0.22500000000000001</v>
      </c>
      <c r="G5" s="6">
        <v>0.30599999999999999</v>
      </c>
      <c r="H5" s="6">
        <v>0.15</v>
      </c>
    </row>
    <row r="6" spans="1:16" x14ac:dyDescent="0.25">
      <c r="A6" s="4"/>
      <c r="B6" s="5" t="s">
        <v>13</v>
      </c>
      <c r="C6" s="5"/>
      <c r="D6" t="s">
        <v>12</v>
      </c>
      <c r="F6" s="6">
        <v>0.02</v>
      </c>
      <c r="G6" s="6">
        <v>0.70599999999999996</v>
      </c>
      <c r="H6" s="6">
        <v>0.15</v>
      </c>
    </row>
    <row r="7" spans="1:16" x14ac:dyDescent="0.25">
      <c r="A7" s="4"/>
      <c r="B7" s="5" t="s">
        <v>12</v>
      </c>
      <c r="C7" s="5"/>
      <c r="D7" t="s">
        <v>14</v>
      </c>
      <c r="F7" s="6"/>
      <c r="G7" s="6"/>
      <c r="H7" s="6">
        <f>5.80566/2</f>
        <v>2.9028299999999998</v>
      </c>
    </row>
    <row r="8" spans="1:16" x14ac:dyDescent="0.25">
      <c r="A8" s="4" t="s">
        <v>15</v>
      </c>
      <c r="B8" s="5" t="s">
        <v>11</v>
      </c>
      <c r="C8" s="5"/>
      <c r="D8" t="s">
        <v>12</v>
      </c>
      <c r="F8" s="6">
        <v>-0.125</v>
      </c>
      <c r="G8" s="6">
        <v>0.30599999999999999</v>
      </c>
      <c r="H8" s="6">
        <v>0.15</v>
      </c>
    </row>
    <row r="9" spans="1:16" x14ac:dyDescent="0.25">
      <c r="A9" s="4"/>
      <c r="B9" s="5" t="s">
        <v>13</v>
      </c>
      <c r="C9" s="5"/>
      <c r="D9" t="s">
        <v>12</v>
      </c>
      <c r="F9" s="6">
        <v>-0.02</v>
      </c>
      <c r="G9" s="6">
        <v>0.70599999999999996</v>
      </c>
      <c r="H9" s="6">
        <v>0.15</v>
      </c>
    </row>
    <row r="10" spans="1:16" x14ac:dyDescent="0.25">
      <c r="A10" s="4"/>
      <c r="B10" s="5" t="s">
        <v>50</v>
      </c>
      <c r="C10" s="5"/>
      <c r="D10" t="s">
        <v>12</v>
      </c>
      <c r="F10" s="24">
        <v>0.05</v>
      </c>
      <c r="G10" s="24">
        <v>0.6</v>
      </c>
      <c r="H10" s="24">
        <v>0.15</v>
      </c>
      <c r="J10" s="25" t="s">
        <v>52</v>
      </c>
      <c r="K10" s="25"/>
      <c r="L10" s="25"/>
      <c r="M10" s="25"/>
      <c r="N10" s="25"/>
      <c r="O10" s="25"/>
      <c r="P10" s="25"/>
    </row>
    <row r="11" spans="1:16" x14ac:dyDescent="0.25">
      <c r="A11" s="4"/>
      <c r="B11" s="5" t="s">
        <v>12</v>
      </c>
      <c r="C11" s="5"/>
      <c r="D11" t="s">
        <v>14</v>
      </c>
      <c r="F11" s="12"/>
      <c r="G11" s="6"/>
      <c r="H11" s="6">
        <f>5.80566/2</f>
        <v>2.9028299999999998</v>
      </c>
    </row>
    <row r="12" spans="1:16" x14ac:dyDescent="0.25">
      <c r="A12" s="4" t="s">
        <v>16</v>
      </c>
      <c r="B12" s="5" t="s">
        <v>11</v>
      </c>
      <c r="C12" s="5"/>
      <c r="D12" t="s">
        <v>12</v>
      </c>
      <c r="F12" s="6">
        <v>0.1</v>
      </c>
      <c r="G12" s="6">
        <v>0.45100000000000001</v>
      </c>
      <c r="H12" s="6">
        <v>0.42</v>
      </c>
    </row>
    <row r="13" spans="1:16" x14ac:dyDescent="0.25">
      <c r="A13" s="4"/>
      <c r="B13" s="5" t="s">
        <v>13</v>
      </c>
      <c r="C13" s="5"/>
      <c r="D13" t="s">
        <v>12</v>
      </c>
      <c r="F13" s="6">
        <v>0.02</v>
      </c>
      <c r="G13" s="6">
        <v>0.70599999999999996</v>
      </c>
      <c r="H13" s="6">
        <v>0.45</v>
      </c>
    </row>
    <row r="14" spans="1:16" x14ac:dyDescent="0.25">
      <c r="A14" s="4"/>
      <c r="B14" s="5" t="s">
        <v>12</v>
      </c>
      <c r="C14" s="5"/>
      <c r="D14" t="s">
        <v>14</v>
      </c>
      <c r="F14" s="6"/>
      <c r="G14" s="6"/>
      <c r="H14" s="6">
        <f>5.27788/2</f>
        <v>2.6389399999999998</v>
      </c>
    </row>
    <row r="15" spans="1:16" x14ac:dyDescent="0.25">
      <c r="A15" s="4" t="s">
        <v>17</v>
      </c>
      <c r="B15" s="5" t="s">
        <v>11</v>
      </c>
      <c r="C15" s="5"/>
      <c r="D15" t="s">
        <v>12</v>
      </c>
      <c r="F15" s="6">
        <v>-0.105</v>
      </c>
      <c r="G15" s="6">
        <v>0.45100000000000001</v>
      </c>
      <c r="H15" s="6">
        <v>0.42</v>
      </c>
    </row>
    <row r="16" spans="1:16" x14ac:dyDescent="0.25">
      <c r="A16" s="4"/>
      <c r="B16" s="5" t="s">
        <v>13</v>
      </c>
      <c r="C16" s="5"/>
      <c r="D16" t="s">
        <v>12</v>
      </c>
      <c r="F16" s="6">
        <v>-0.02</v>
      </c>
      <c r="G16" s="6">
        <v>0.70599999999999996</v>
      </c>
      <c r="H16" s="6">
        <v>0.45</v>
      </c>
    </row>
    <row r="17" spans="1:10" x14ac:dyDescent="0.25">
      <c r="A17" s="4"/>
      <c r="B17" s="5" t="s">
        <v>12</v>
      </c>
      <c r="C17" s="5"/>
      <c r="D17" t="s">
        <v>14</v>
      </c>
      <c r="F17" s="6"/>
      <c r="G17" s="6"/>
      <c r="H17" s="6">
        <f>5.27788/2</f>
        <v>2.6389399999999998</v>
      </c>
    </row>
    <row r="18" spans="1:10" x14ac:dyDescent="0.25">
      <c r="A18" s="4" t="s">
        <v>18</v>
      </c>
      <c r="B18" s="5" t="s">
        <v>19</v>
      </c>
      <c r="C18" s="5"/>
      <c r="D18" t="s">
        <v>12</v>
      </c>
      <c r="F18" s="6">
        <v>0</v>
      </c>
      <c r="G18" s="6">
        <v>0.74</v>
      </c>
      <c r="H18" s="6">
        <v>0.33</v>
      </c>
    </row>
    <row r="19" spans="1:10" x14ac:dyDescent="0.25">
      <c r="A19" s="4"/>
      <c r="B19" s="5" t="s">
        <v>20</v>
      </c>
      <c r="C19" s="5"/>
      <c r="D19" t="s">
        <v>12</v>
      </c>
      <c r="F19" s="6">
        <v>0</v>
      </c>
      <c r="G19" s="6">
        <v>0.78749999999999998</v>
      </c>
      <c r="H19" s="6">
        <v>0.33</v>
      </c>
    </row>
    <row r="20" spans="1:10" x14ac:dyDescent="0.25">
      <c r="A20" s="4"/>
      <c r="B20" s="5" t="s">
        <v>12</v>
      </c>
      <c r="C20" s="5"/>
      <c r="D20" t="s">
        <v>14</v>
      </c>
      <c r="F20" s="6"/>
      <c r="G20" s="6"/>
      <c r="H20" s="6">
        <v>7.0371699999999997</v>
      </c>
    </row>
    <row r="21" spans="1:10" x14ac:dyDescent="0.25">
      <c r="A21" s="4"/>
      <c r="B21" s="5" t="s">
        <v>21</v>
      </c>
      <c r="C21" s="5"/>
      <c r="D21" t="s">
        <v>22</v>
      </c>
      <c r="F21" s="6"/>
      <c r="G21" s="6"/>
      <c r="H21" s="6">
        <v>0</v>
      </c>
    </row>
    <row r="22" spans="1:10" x14ac:dyDescent="0.25">
      <c r="A22" s="4"/>
      <c r="B22" s="5" t="s">
        <v>23</v>
      </c>
      <c r="C22" s="5"/>
      <c r="D22" t="s">
        <v>22</v>
      </c>
      <c r="F22" s="6"/>
      <c r="G22" s="6"/>
      <c r="H22" s="6">
        <v>0</v>
      </c>
    </row>
    <row r="23" spans="1:10" x14ac:dyDescent="0.25">
      <c r="A23" s="4"/>
      <c r="B23" s="5" t="s">
        <v>24</v>
      </c>
      <c r="C23" s="5"/>
      <c r="D23" t="s">
        <v>12</v>
      </c>
      <c r="E23" t="s">
        <v>25</v>
      </c>
      <c r="F23" s="6"/>
      <c r="G23" s="6"/>
      <c r="H23" s="6">
        <v>0.15</v>
      </c>
    </row>
    <row r="24" spans="1:10" x14ac:dyDescent="0.25">
      <c r="A24" s="4"/>
      <c r="B24" s="5" t="s">
        <v>26</v>
      </c>
      <c r="C24" s="5"/>
      <c r="D24" t="s">
        <v>12</v>
      </c>
      <c r="E24" t="s">
        <v>27</v>
      </c>
      <c r="F24" s="6"/>
      <c r="G24" s="6"/>
      <c r="H24" s="6">
        <v>0.05</v>
      </c>
    </row>
    <row r="25" spans="1:10" x14ac:dyDescent="0.25">
      <c r="A25" s="4"/>
      <c r="B25" s="5" t="s">
        <v>28</v>
      </c>
      <c r="C25" s="5"/>
      <c r="D25" t="s">
        <v>14</v>
      </c>
      <c r="F25" s="6"/>
      <c r="G25" s="6"/>
      <c r="H25" s="6">
        <v>1.76</v>
      </c>
    </row>
    <row r="26" spans="1:10" x14ac:dyDescent="0.25">
      <c r="A26" s="4" t="s">
        <v>29</v>
      </c>
      <c r="B26" s="13" t="s">
        <v>11</v>
      </c>
      <c r="C26" s="5"/>
      <c r="D26" t="s">
        <v>12</v>
      </c>
      <c r="E26" t="s">
        <v>47</v>
      </c>
      <c r="F26" s="20">
        <v>-0.13</v>
      </c>
      <c r="G26" s="20">
        <v>0.40899999999999997</v>
      </c>
      <c r="H26" s="20">
        <v>0.185</v>
      </c>
      <c r="J26" s="13" t="s">
        <v>47</v>
      </c>
    </row>
    <row r="27" spans="1:10" x14ac:dyDescent="0.25">
      <c r="A27" s="4"/>
      <c r="B27" s="5" t="s">
        <v>13</v>
      </c>
      <c r="C27" s="5"/>
      <c r="D27" t="s">
        <v>12</v>
      </c>
      <c r="F27" s="6">
        <v>-0.13</v>
      </c>
      <c r="G27" s="6">
        <v>0.75900000000000001</v>
      </c>
      <c r="H27" s="6">
        <v>0.185</v>
      </c>
    </row>
    <row r="28" spans="1:10" x14ac:dyDescent="0.25">
      <c r="A28" s="4"/>
      <c r="B28" s="5" t="s">
        <v>12</v>
      </c>
      <c r="C28" s="5"/>
      <c r="D28" t="s">
        <v>14</v>
      </c>
      <c r="F28" s="6"/>
      <c r="G28" s="6"/>
      <c r="H28" s="6">
        <v>5.2778799999999997</v>
      </c>
    </row>
    <row r="29" spans="1:10" x14ac:dyDescent="0.25">
      <c r="A29" s="4" t="s">
        <v>30</v>
      </c>
      <c r="B29" s="17" t="s">
        <v>31</v>
      </c>
      <c r="C29" s="5"/>
      <c r="D29" t="s">
        <v>12</v>
      </c>
      <c r="E29" t="s">
        <v>48</v>
      </c>
      <c r="F29" s="21">
        <f>-0.01387-0.04</f>
        <v>-5.3870000000000001E-2</v>
      </c>
      <c r="G29" s="21">
        <v>0.49195</v>
      </c>
      <c r="H29" s="21">
        <v>0.52285999999999999</v>
      </c>
      <c r="J29" s="14" t="s">
        <v>48</v>
      </c>
    </row>
    <row r="30" spans="1:10" x14ac:dyDescent="0.25">
      <c r="A30" s="4"/>
      <c r="B30" s="17" t="s">
        <v>32</v>
      </c>
      <c r="C30" s="5"/>
      <c r="D30" t="s">
        <v>12</v>
      </c>
      <c r="E30" t="s">
        <v>48</v>
      </c>
      <c r="F30" s="21">
        <f>-0.013587-0.04</f>
        <v>-5.3587000000000003E-2</v>
      </c>
      <c r="G30" s="21">
        <v>0.71599999999999997</v>
      </c>
      <c r="H30" s="21">
        <v>0.15</v>
      </c>
      <c r="J30" s="14" t="s">
        <v>48</v>
      </c>
    </row>
    <row r="31" spans="1:10" x14ac:dyDescent="0.25">
      <c r="A31" s="4"/>
      <c r="B31" s="5" t="s">
        <v>33</v>
      </c>
      <c r="C31" s="5"/>
      <c r="D31" t="s">
        <v>14</v>
      </c>
      <c r="F31" s="6"/>
      <c r="G31" s="6"/>
      <c r="H31" s="6">
        <v>3.6529410000000002</v>
      </c>
    </row>
    <row r="32" spans="1:10" x14ac:dyDescent="0.25">
      <c r="A32" s="4"/>
      <c r="B32" s="5" t="s">
        <v>34</v>
      </c>
      <c r="C32" s="5"/>
      <c r="D32" t="s">
        <v>14</v>
      </c>
      <c r="F32" s="6"/>
      <c r="G32" s="6"/>
      <c r="H32" s="6">
        <v>4.3157700000000006</v>
      </c>
    </row>
    <row r="33" spans="1:10" x14ac:dyDescent="0.25">
      <c r="A33" s="4" t="s">
        <v>35</v>
      </c>
      <c r="B33" s="15" t="s">
        <v>36</v>
      </c>
      <c r="C33" s="5"/>
      <c r="D33" t="s">
        <v>12</v>
      </c>
      <c r="E33" t="s">
        <v>49</v>
      </c>
      <c r="F33" s="12"/>
      <c r="G33" s="12"/>
      <c r="H33" s="23">
        <v>0.1</v>
      </c>
      <c r="J33" s="15" t="s">
        <v>49</v>
      </c>
    </row>
    <row r="34" spans="1:10" x14ac:dyDescent="0.25">
      <c r="A34" s="4"/>
      <c r="B34" s="15" t="s">
        <v>37</v>
      </c>
      <c r="C34" s="5"/>
      <c r="D34" t="s">
        <v>12</v>
      </c>
      <c r="E34" t="s">
        <v>49</v>
      </c>
      <c r="F34" s="12"/>
      <c r="G34" s="12"/>
      <c r="H34" s="23">
        <v>-0.1</v>
      </c>
      <c r="J34" s="15" t="s">
        <v>49</v>
      </c>
    </row>
    <row r="35" spans="1:10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9" t="s">
        <v>43</v>
      </c>
    </row>
    <row r="36" spans="1:10" x14ac:dyDescent="0.25">
      <c r="A36" s="4" t="s">
        <v>44</v>
      </c>
      <c r="B36" s="8" t="s">
        <v>8</v>
      </c>
      <c r="C36" s="9"/>
      <c r="D36" s="9"/>
      <c r="E36" s="8"/>
      <c r="F36" s="9"/>
      <c r="G36" s="9"/>
      <c r="H36" s="19" t="s">
        <v>43</v>
      </c>
    </row>
    <row r="37" spans="1:10" x14ac:dyDescent="0.25">
      <c r="A37" s="4" t="s">
        <v>45</v>
      </c>
      <c r="B37" s="8" t="s">
        <v>8</v>
      </c>
      <c r="C37" s="9"/>
      <c r="D37" s="9"/>
      <c r="E37" s="8"/>
      <c r="F37" s="9"/>
      <c r="G37" s="9"/>
      <c r="H37" s="19" t="s">
        <v>43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9" t="s">
        <v>43</v>
      </c>
    </row>
  </sheetData>
  <conditionalFormatting sqref="A29">
    <cfRule type="cellIs" dxfId="4" priority="4" operator="equal">
      <formula>"class"</formula>
    </cfRule>
  </conditionalFormatting>
  <conditionalFormatting sqref="A35:A38">
    <cfRule type="cellIs" dxfId="3" priority="3" operator="equal">
      <formula>"class"</formula>
    </cfRule>
  </conditionalFormatting>
  <conditionalFormatting sqref="A29:B34">
    <cfRule type="cellIs" dxfId="2" priority="5" operator="equal">
      <formula>"class"</formula>
    </cfRule>
  </conditionalFormatting>
  <conditionalFormatting sqref="E29:E34">
    <cfRule type="cellIs" dxfId="1" priority="1" operator="equal">
      <formula>"class"</formula>
    </cfRule>
  </conditionalFormatting>
  <conditionalFormatting sqref="J33:J34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L5StoLAR_Sedan_HambaLG_f</vt:lpstr>
      <vt:lpstr>L5StoLAR_Sedan_HambaLG_r</vt:lpstr>
      <vt:lpstr>L5StoLAR_Sedan_Hamba_f</vt:lpstr>
      <vt:lpstr>L5StoLAR_Sedan_Hamba_r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2019-11-05T12:26:40Z</dcterms:created>
  <dcterms:modified xsi:type="dcterms:W3CDTF">2025-12-12T07:53:49Z</dcterms:modified>
</cp:coreProperties>
</file>