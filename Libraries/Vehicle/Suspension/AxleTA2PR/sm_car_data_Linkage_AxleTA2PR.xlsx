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uspension\AxleTA2PR\"/>
    </mc:Choice>
  </mc:AlternateContent>
  <xr:revisionPtr revIDLastSave="0" documentId="13_ncr:1_{BFF561CD-F510-4F2C-A641-5D65D440FF29}" xr6:coauthVersionLast="47" xr6:coauthVersionMax="47" xr10:uidLastSave="{00000000-0000-0000-0000-000000000000}"/>
  <bookViews>
    <workbookView xWindow="28680" yWindow="-120" windowWidth="29040" windowHeight="15720" tabRatio="794" xr2:uid="{5368FE27-1559-47FB-BDD2-777FB297959A}"/>
  </bookViews>
  <sheets>
    <sheet name="AxleTA2PR_SUV_Landy_f" sheetId="5" r:id="rId1"/>
    <sheet name="AxleTA2PR_Sedan_HambaLG_r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5" l="1"/>
</calcChain>
</file>

<file path=xl/sharedStrings.xml><?xml version="1.0" encoding="utf-8"?>
<sst xmlns="http://schemas.openxmlformats.org/spreadsheetml/2006/main" count="272" uniqueCount="83">
  <si>
    <t>Units</t>
  </si>
  <si>
    <t>Comments</t>
  </si>
  <si>
    <t>x</t>
  </si>
  <si>
    <t>y</t>
  </si>
  <si>
    <t>z or scalar</t>
  </si>
  <si>
    <t>Type</t>
  </si>
  <si>
    <t>Instance</t>
  </si>
  <si>
    <t>class</t>
  </si>
  <si>
    <t>m</t>
  </si>
  <si>
    <t>kg</t>
  </si>
  <si>
    <t>Shock</t>
  </si>
  <si>
    <t>mPiston</t>
  </si>
  <si>
    <t>mCylinder</t>
  </si>
  <si>
    <t>Endstop</t>
  </si>
  <si>
    <t>xMax</t>
  </si>
  <si>
    <t>xMin</t>
  </si>
  <si>
    <t>sBody</t>
  </si>
  <si>
    <t>Susp</t>
  </si>
  <si>
    <t>Axle</t>
  </si>
  <si>
    <t>sAxle</t>
  </si>
  <si>
    <t>PanhardRod</t>
  </si>
  <si>
    <t>J-01, J-03</t>
  </si>
  <si>
    <t>J-05</t>
  </si>
  <si>
    <t>J-06</t>
  </si>
  <si>
    <t>SteeringLink</t>
  </si>
  <si>
    <t>Must be consistent with values in Spring, Damper</t>
  </si>
  <si>
    <t>Must be consistent with value in Dampers</t>
  </si>
  <si>
    <t>Upright</t>
  </si>
  <si>
    <t>Upright mass</t>
  </si>
  <si>
    <t>Axle housing mass</t>
  </si>
  <si>
    <t>sCG</t>
  </si>
  <si>
    <t>TrailingArm</t>
  </si>
  <si>
    <t>AxleTA2PR</t>
  </si>
  <si>
    <t>AxleTA2PR_SUV_Landy_f</t>
  </si>
  <si>
    <t>Arm to Axle</t>
  </si>
  <si>
    <t>Kinematic</t>
  </si>
  <si>
    <t>CylUpAttCtr</t>
  </si>
  <si>
    <t>Shock Connection</t>
  </si>
  <si>
    <t>aCaster</t>
  </si>
  <si>
    <t>aKPI</t>
  </si>
  <si>
    <t>deg</t>
  </si>
  <si>
    <t>Positive KPI: Top Inside Bottom</t>
  </si>
  <si>
    <t>Positive Caster: Top Rear of WC</t>
  </si>
  <si>
    <t>Bumpstop</t>
  </si>
  <si>
    <t>xHeight</t>
  </si>
  <si>
    <t>N/m</t>
  </si>
  <si>
    <t>d</t>
  </si>
  <si>
    <t>N/(m/s)</t>
  </si>
  <si>
    <t>xTransition</t>
  </si>
  <si>
    <t>K</t>
  </si>
  <si>
    <t>sPointCloud</t>
  </si>
  <si>
    <t>SphereSurface</t>
  </si>
  <si>
    <t>[xyz], npts x 3, ref frame is sChassis</t>
  </si>
  <si>
    <t>sAxleR</t>
  </si>
  <si>
    <t>sAxleL</t>
  </si>
  <si>
    <t>J-02</t>
  </si>
  <si>
    <t>J-04</t>
  </si>
  <si>
    <t>sDragLinkL</t>
  </si>
  <si>
    <t>sDragLinkR</t>
  </si>
  <si>
    <t>sWheelCentreL</t>
  </si>
  <si>
    <t>sWheelCentreR</t>
  </si>
  <si>
    <t>sOutboardL</t>
  </si>
  <si>
    <t>sOutboardR</t>
  </si>
  <si>
    <t>J-14</t>
  </si>
  <si>
    <t>J-13</t>
  </si>
  <si>
    <t>J-16</t>
  </si>
  <si>
    <t>J-15</t>
  </si>
  <si>
    <t>J-12</t>
  </si>
  <si>
    <t>J-11</t>
  </si>
  <si>
    <t>sBottomL</t>
  </si>
  <si>
    <t>sBottomR</t>
  </si>
  <si>
    <t>sTopL</t>
  </si>
  <si>
    <t>sTopR</t>
  </si>
  <si>
    <t>Shock to Body, Right</t>
  </si>
  <si>
    <t>Shock to Body, Left</t>
  </si>
  <si>
    <t>Shock to Axle, Left</t>
  </si>
  <si>
    <t>Shock to Axle, Right</t>
  </si>
  <si>
    <t>Left or Right must be consistent with values in Steer</t>
  </si>
  <si>
    <t>AxleTA2PR_Sedan_HambaLG_r</t>
  </si>
  <si>
    <t>Abstract model of arm bushing stiffness</t>
  </si>
  <si>
    <t>Abstract model of arm bushing damping</t>
  </si>
  <si>
    <t>N*m/deg</t>
  </si>
  <si>
    <t>N*m/(deg/s)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</si>
</sst>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horizontal="left"/>
    </xf>
    <xf numFmtId="164" fontId="2" fillId="0" borderId="0" xfId="0" applyNumberFormat="1" applyFont="1"/>
    <xf numFmtId="0" fontId="0" fillId="3" borderId="0" xfId="0" applyFill="1" applyAlignment="1">
      <alignment horizontal="right"/>
    </xf>
    <xf numFmtId="0" fontId="0" fillId="7" borderId="0" xfId="0" applyFill="1"/>
    <xf numFmtId="164" fontId="0" fillId="7" borderId="0" xfId="0" applyNumberFormat="1" applyFill="1"/>
    <xf numFmtId="164" fontId="0" fillId="5" borderId="0" xfId="0" applyNumberFormat="1" applyFill="1"/>
    <xf numFmtId="2" fontId="0" fillId="0" borderId="0" xfId="0" applyNumberFormat="1"/>
    <xf numFmtId="164" fontId="2" fillId="6" borderId="0" xfId="0" applyNumberFormat="1" applyFont="1" applyFill="1"/>
  </cellXfs>
  <cellStyles count="1">
    <cellStyle name="Normal" xfId="0" builtinId="0"/>
  </cellStyles>
  <dxfs count="10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9276-C901-496B-AE9A-B4C0F23CEBE5}">
  <sheetPr>
    <tabColor theme="7" tint="0.59999389629810485"/>
  </sheetPr>
  <dimension ref="A1:S46"/>
  <sheetViews>
    <sheetView tabSelected="1" workbookViewId="0">
      <pane xSplit="3" ySplit="1" topLeftCell="D5" activePane="bottomRight" state="frozen"/>
      <selection activeCell="E9" sqref="E9"/>
      <selection pane="topRight" activeCell="E9" sqref="E9"/>
      <selection pane="bottomLeft" activeCell="E9" sqref="E9"/>
      <selection pane="bottomRight" activeCell="K13" sqref="K13"/>
    </sheetView>
  </sheetViews>
  <sheetFormatPr defaultRowHeight="15" x14ac:dyDescent="0.25"/>
  <cols>
    <col min="1" max="1" width="14.42578125" style="17" customWidth="1"/>
    <col min="2" max="2" width="19" customWidth="1"/>
    <col min="3" max="3" width="15.7109375" customWidth="1"/>
    <col min="4" max="4" width="11.140625" customWidth="1"/>
    <col min="5" max="5" width="35" customWidth="1"/>
    <col min="6" max="8" width="10" customWidth="1"/>
    <col min="9" max="9" width="6.7109375" customWidth="1"/>
    <col min="10" max="10" width="8" customWidth="1"/>
    <col min="11" max="13" width="6.7109375" customWidth="1"/>
  </cols>
  <sheetData>
    <row r="1" spans="1:13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3" x14ac:dyDescent="0.25">
      <c r="A2" s="4" t="s">
        <v>5</v>
      </c>
      <c r="B2" s="5"/>
      <c r="C2" s="5"/>
      <c r="D2" s="5"/>
      <c r="E2" s="5"/>
      <c r="F2" s="6"/>
      <c r="G2" s="6"/>
      <c r="H2" s="7" t="s">
        <v>17</v>
      </c>
    </row>
    <row r="3" spans="1:13" x14ac:dyDescent="0.25">
      <c r="A3" s="8" t="s">
        <v>6</v>
      </c>
      <c r="B3" s="9"/>
      <c r="C3" s="9"/>
      <c r="F3" s="10"/>
      <c r="G3" s="10"/>
      <c r="H3" s="11" t="s">
        <v>33</v>
      </c>
    </row>
    <row r="4" spans="1:13" x14ac:dyDescent="0.25">
      <c r="A4" s="4" t="s">
        <v>7</v>
      </c>
      <c r="B4" s="5"/>
      <c r="C4" s="5"/>
      <c r="D4" s="5"/>
      <c r="E4" s="5"/>
      <c r="F4" s="6"/>
      <c r="G4" s="6"/>
      <c r="H4" s="7" t="s">
        <v>32</v>
      </c>
      <c r="J4" s="18"/>
    </row>
    <row r="5" spans="1:13" x14ac:dyDescent="0.25">
      <c r="A5" s="8" t="s">
        <v>32</v>
      </c>
      <c r="B5" s="4" t="s">
        <v>7</v>
      </c>
      <c r="C5" s="5"/>
      <c r="D5" s="5"/>
      <c r="E5" s="5"/>
      <c r="F5" s="6"/>
      <c r="G5" s="6"/>
      <c r="H5" s="7" t="s">
        <v>32</v>
      </c>
      <c r="J5" s="18"/>
    </row>
    <row r="6" spans="1:13" x14ac:dyDescent="0.25">
      <c r="A6" s="8"/>
      <c r="B6" s="9" t="s">
        <v>31</v>
      </c>
      <c r="C6" s="9" t="s">
        <v>16</v>
      </c>
      <c r="D6" t="s">
        <v>8</v>
      </c>
      <c r="E6" t="s">
        <v>21</v>
      </c>
      <c r="F6" s="18">
        <v>-0.83199999999999996</v>
      </c>
      <c r="G6" s="18">
        <v>0.44</v>
      </c>
      <c r="H6" s="18">
        <v>0.45500000000000002</v>
      </c>
      <c r="K6" s="10"/>
      <c r="L6" s="10"/>
      <c r="M6" s="10"/>
    </row>
    <row r="7" spans="1:13" x14ac:dyDescent="0.25">
      <c r="A7" s="8"/>
      <c r="B7" s="9"/>
      <c r="C7" s="9" t="s">
        <v>54</v>
      </c>
      <c r="D7" t="s">
        <v>8</v>
      </c>
      <c r="E7" t="s">
        <v>55</v>
      </c>
      <c r="F7" s="18">
        <v>0</v>
      </c>
      <c r="G7" s="18">
        <v>0.44</v>
      </c>
      <c r="H7" s="18">
        <v>0.40300000000000002</v>
      </c>
      <c r="K7" s="10"/>
      <c r="L7" s="10"/>
      <c r="M7" s="10"/>
    </row>
    <row r="8" spans="1:13" x14ac:dyDescent="0.25">
      <c r="A8" s="8"/>
      <c r="B8" s="9"/>
      <c r="C8" s="9" t="s">
        <v>53</v>
      </c>
      <c r="D8" t="s">
        <v>8</v>
      </c>
      <c r="E8" t="s">
        <v>56</v>
      </c>
      <c r="F8" s="18">
        <v>0</v>
      </c>
      <c r="G8" s="18">
        <v>-0.435</v>
      </c>
      <c r="H8" s="18">
        <v>0.40300000000000002</v>
      </c>
      <c r="K8" s="10"/>
      <c r="L8" s="10"/>
      <c r="M8" s="10"/>
    </row>
    <row r="9" spans="1:13" x14ac:dyDescent="0.25">
      <c r="A9" s="8"/>
      <c r="B9" s="9"/>
      <c r="C9" s="9" t="s">
        <v>8</v>
      </c>
      <c r="D9" t="s">
        <v>9</v>
      </c>
      <c r="F9" s="10"/>
      <c r="G9" s="10"/>
      <c r="H9" s="10">
        <v>10</v>
      </c>
    </row>
    <row r="10" spans="1:13" x14ac:dyDescent="0.25">
      <c r="A10" s="8"/>
      <c r="B10" s="9" t="s">
        <v>20</v>
      </c>
      <c r="C10" s="9" t="s">
        <v>16</v>
      </c>
      <c r="D10" t="s">
        <v>8</v>
      </c>
      <c r="E10" t="s">
        <v>22</v>
      </c>
      <c r="F10" s="18">
        <v>0.20699999999999999</v>
      </c>
      <c r="G10" s="18">
        <v>-0.434</v>
      </c>
      <c r="H10" s="18">
        <v>0.46800000000000003</v>
      </c>
      <c r="K10" s="10"/>
      <c r="L10" s="10"/>
      <c r="M10" s="10"/>
    </row>
    <row r="11" spans="1:13" x14ac:dyDescent="0.25">
      <c r="A11" s="8"/>
      <c r="B11" s="9"/>
      <c r="C11" s="9" t="s">
        <v>19</v>
      </c>
      <c r="D11" t="s">
        <v>8</v>
      </c>
      <c r="E11" t="s">
        <v>23</v>
      </c>
      <c r="F11" s="18">
        <v>0.121</v>
      </c>
      <c r="G11" s="18">
        <v>0.38</v>
      </c>
      <c r="H11" s="18">
        <v>0.41699999999999998</v>
      </c>
      <c r="K11" s="10"/>
      <c r="L11" s="10"/>
      <c r="M11" s="10"/>
    </row>
    <row r="12" spans="1:13" x14ac:dyDescent="0.25">
      <c r="A12" s="8"/>
      <c r="B12" s="9"/>
      <c r="C12" s="9" t="s">
        <v>8</v>
      </c>
      <c r="D12" t="s">
        <v>9</v>
      </c>
      <c r="F12" s="10"/>
      <c r="G12" s="10"/>
      <c r="H12" s="10">
        <v>4</v>
      </c>
    </row>
    <row r="13" spans="1:13" x14ac:dyDescent="0.25">
      <c r="A13" s="8"/>
      <c r="B13" s="8" t="s">
        <v>18</v>
      </c>
      <c r="C13" s="9" t="s">
        <v>8</v>
      </c>
      <c r="D13" t="s">
        <v>9</v>
      </c>
      <c r="E13" t="s">
        <v>29</v>
      </c>
      <c r="F13" s="12"/>
      <c r="G13" s="10"/>
      <c r="H13" s="10">
        <v>143</v>
      </c>
      <c r="J13" s="18"/>
    </row>
    <row r="14" spans="1:13" x14ac:dyDescent="0.25">
      <c r="A14" s="8"/>
      <c r="B14" s="8"/>
      <c r="C14" s="9" t="s">
        <v>30</v>
      </c>
      <c r="D14" t="s">
        <v>8</v>
      </c>
      <c r="F14" s="10">
        <v>0</v>
      </c>
      <c r="G14" s="10">
        <v>0</v>
      </c>
      <c r="H14" s="10">
        <v>0.38800000000000001</v>
      </c>
      <c r="J14" s="18"/>
      <c r="K14" s="10"/>
      <c r="L14" s="10"/>
      <c r="M14" s="10"/>
    </row>
    <row r="15" spans="1:13" x14ac:dyDescent="0.25">
      <c r="A15" s="8"/>
      <c r="B15" s="8"/>
      <c r="C15" s="9" t="s">
        <v>49</v>
      </c>
      <c r="D15" t="s">
        <v>81</v>
      </c>
      <c r="E15" t="s">
        <v>79</v>
      </c>
      <c r="F15" s="10"/>
      <c r="G15" s="10"/>
      <c r="H15" s="10">
        <v>0</v>
      </c>
    </row>
    <row r="16" spans="1:13" x14ac:dyDescent="0.25">
      <c r="A16" s="8"/>
      <c r="B16" s="8"/>
      <c r="C16" s="9" t="s">
        <v>46</v>
      </c>
      <c r="D16" t="s">
        <v>82</v>
      </c>
      <c r="E16" t="s">
        <v>80</v>
      </c>
      <c r="F16" s="10"/>
      <c r="G16" s="10"/>
      <c r="H16" s="10">
        <v>0</v>
      </c>
    </row>
    <row r="17" spans="1:15" x14ac:dyDescent="0.25">
      <c r="A17" s="8"/>
      <c r="B17" s="8" t="s">
        <v>43</v>
      </c>
      <c r="C17" s="4" t="s">
        <v>7</v>
      </c>
      <c r="D17" s="5"/>
      <c r="E17" s="5"/>
      <c r="F17" s="4"/>
      <c r="G17" s="5"/>
      <c r="H17" s="19" t="s">
        <v>51</v>
      </c>
    </row>
    <row r="18" spans="1:15" x14ac:dyDescent="0.25">
      <c r="A18" s="8"/>
      <c r="B18" s="8"/>
      <c r="C18" s="9" t="s">
        <v>19</v>
      </c>
      <c r="D18" t="s">
        <v>8</v>
      </c>
      <c r="F18" s="18">
        <v>0</v>
      </c>
      <c r="G18" s="18">
        <v>0</v>
      </c>
      <c r="H18" s="18">
        <v>0.47899999999999998</v>
      </c>
    </row>
    <row r="19" spans="1:15" x14ac:dyDescent="0.25">
      <c r="A19" s="8"/>
      <c r="B19" s="8"/>
      <c r="C19" s="9" t="s">
        <v>16</v>
      </c>
      <c r="D19" t="s">
        <v>8</v>
      </c>
      <c r="F19" s="18">
        <v>0</v>
      </c>
      <c r="G19" s="18">
        <v>0.35499999999999998</v>
      </c>
      <c r="H19" s="18">
        <v>0.61799999999999999</v>
      </c>
    </row>
    <row r="20" spans="1:15" x14ac:dyDescent="0.25">
      <c r="A20" s="8"/>
      <c r="B20" s="8"/>
      <c r="C20" s="9" t="s">
        <v>44</v>
      </c>
      <c r="D20" t="s">
        <v>8</v>
      </c>
      <c r="F20" s="10"/>
      <c r="G20" s="10"/>
      <c r="H20" s="10">
        <v>0.04</v>
      </c>
    </row>
    <row r="21" spans="1:15" x14ac:dyDescent="0.25">
      <c r="A21" s="8"/>
      <c r="B21" s="8"/>
      <c r="C21" s="9" t="s">
        <v>50</v>
      </c>
      <c r="D21" t="s">
        <v>8</v>
      </c>
      <c r="E21" t="s">
        <v>52</v>
      </c>
      <c r="F21" s="10"/>
      <c r="G21" s="10"/>
      <c r="H21" s="10">
        <v>0</v>
      </c>
      <c r="I21" s="10">
        <v>0</v>
      </c>
      <c r="J21" s="10">
        <v>-0.04</v>
      </c>
    </row>
    <row r="22" spans="1:15" x14ac:dyDescent="0.25">
      <c r="A22" s="8"/>
      <c r="B22" s="8"/>
      <c r="C22" s="9" t="s">
        <v>49</v>
      </c>
      <c r="D22" t="s">
        <v>45</v>
      </c>
      <c r="F22" s="10"/>
      <c r="G22" s="10"/>
      <c r="H22" s="10">
        <v>100000</v>
      </c>
    </row>
    <row r="23" spans="1:15" x14ac:dyDescent="0.25">
      <c r="A23" s="8"/>
      <c r="B23" s="8"/>
      <c r="C23" s="9" t="s">
        <v>46</v>
      </c>
      <c r="D23" t="s">
        <v>47</v>
      </c>
      <c r="F23" s="10"/>
      <c r="G23" s="10"/>
      <c r="H23" s="10">
        <v>150</v>
      </c>
    </row>
    <row r="24" spans="1:15" x14ac:dyDescent="0.25">
      <c r="A24" s="8"/>
      <c r="B24" s="8"/>
      <c r="C24" s="9" t="s">
        <v>48</v>
      </c>
      <c r="D24" t="s">
        <v>8</v>
      </c>
      <c r="F24" s="10"/>
      <c r="G24" s="10"/>
      <c r="H24" s="10">
        <v>1E-4</v>
      </c>
    </row>
    <row r="25" spans="1:15" x14ac:dyDescent="0.25">
      <c r="A25" s="8"/>
      <c r="B25" s="8" t="s">
        <v>27</v>
      </c>
      <c r="C25" s="9" t="s">
        <v>54</v>
      </c>
      <c r="D25" t="s">
        <v>8</v>
      </c>
      <c r="E25" t="s">
        <v>68</v>
      </c>
      <c r="F25" s="18">
        <v>0</v>
      </c>
      <c r="G25" s="18">
        <v>0.64100000000000001</v>
      </c>
      <c r="H25" s="18">
        <v>0.39900000000000002</v>
      </c>
      <c r="J25" s="18"/>
      <c r="K25" s="12"/>
      <c r="L25" s="10"/>
      <c r="M25" s="10"/>
    </row>
    <row r="26" spans="1:15" x14ac:dyDescent="0.25">
      <c r="A26" s="8"/>
      <c r="B26" s="8"/>
      <c r="C26" s="9" t="s">
        <v>53</v>
      </c>
      <c r="D26" t="s">
        <v>8</v>
      </c>
      <c r="E26" t="s">
        <v>67</v>
      </c>
      <c r="F26" s="18">
        <v>0</v>
      </c>
      <c r="G26" s="18">
        <v>-0.63600000000000001</v>
      </c>
      <c r="H26" s="18">
        <v>0.39900000000000002</v>
      </c>
      <c r="J26" s="18"/>
      <c r="K26" s="12"/>
      <c r="L26" s="10"/>
      <c r="M26" s="10"/>
    </row>
    <row r="27" spans="1:15" x14ac:dyDescent="0.25">
      <c r="A27" s="8"/>
      <c r="B27" s="8"/>
      <c r="C27" s="9" t="s">
        <v>57</v>
      </c>
      <c r="D27" t="s">
        <v>8</v>
      </c>
      <c r="F27" s="21">
        <v>0.20699999999999999</v>
      </c>
      <c r="G27" s="21">
        <v>0.61</v>
      </c>
      <c r="H27" s="21">
        <v>0.39100000000000001</v>
      </c>
      <c r="J27" s="20" t="s">
        <v>77</v>
      </c>
      <c r="K27" s="20"/>
      <c r="L27" s="20"/>
      <c r="M27" s="20"/>
      <c r="N27" s="20"/>
      <c r="O27" s="20"/>
    </row>
    <row r="28" spans="1:15" x14ac:dyDescent="0.25">
      <c r="A28" s="8"/>
      <c r="B28" s="8"/>
      <c r="C28" s="9" t="s">
        <v>58</v>
      </c>
      <c r="D28" t="s">
        <v>8</v>
      </c>
      <c r="F28" s="21">
        <v>0.20699999999999999</v>
      </c>
      <c r="G28" s="21">
        <v>-0.61</v>
      </c>
      <c r="H28" s="21">
        <v>0.39100000000000001</v>
      </c>
      <c r="J28" s="20" t="s">
        <v>77</v>
      </c>
      <c r="K28" s="20"/>
      <c r="L28" s="20"/>
      <c r="M28" s="20"/>
      <c r="N28" s="20"/>
      <c r="O28" s="20"/>
    </row>
    <row r="29" spans="1:15" x14ac:dyDescent="0.25">
      <c r="A29" s="8"/>
      <c r="B29" s="8"/>
      <c r="C29" s="9" t="s">
        <v>59</v>
      </c>
      <c r="D29" t="s">
        <v>8</v>
      </c>
      <c r="E29" t="s">
        <v>66</v>
      </c>
      <c r="F29" s="18">
        <v>0</v>
      </c>
      <c r="G29" s="18">
        <v>0.75900000000000001</v>
      </c>
      <c r="H29" s="18">
        <v>0.39900000000000002</v>
      </c>
      <c r="K29" s="10"/>
      <c r="L29" s="10"/>
      <c r="M29" s="10"/>
    </row>
    <row r="30" spans="1:15" x14ac:dyDescent="0.25">
      <c r="A30" s="8"/>
      <c r="B30" s="8"/>
      <c r="C30" s="9" t="s">
        <v>60</v>
      </c>
      <c r="D30" t="s">
        <v>8</v>
      </c>
      <c r="E30" t="s">
        <v>65</v>
      </c>
      <c r="F30" s="18">
        <v>0</v>
      </c>
      <c r="G30" s="18">
        <v>-0.754</v>
      </c>
      <c r="H30" s="18">
        <v>0.39900000000000002</v>
      </c>
      <c r="K30" s="10"/>
      <c r="L30" s="10"/>
      <c r="M30" s="10"/>
    </row>
    <row r="31" spans="1:15" x14ac:dyDescent="0.25">
      <c r="A31" s="8"/>
      <c r="B31" s="8"/>
      <c r="C31" s="9" t="s">
        <v>38</v>
      </c>
      <c r="D31" t="s">
        <v>40</v>
      </c>
      <c r="E31" t="s">
        <v>42</v>
      </c>
      <c r="F31" s="10"/>
      <c r="G31" s="10"/>
      <c r="H31" s="10">
        <v>-3.25</v>
      </c>
    </row>
    <row r="32" spans="1:15" x14ac:dyDescent="0.25">
      <c r="A32" s="8"/>
      <c r="B32" s="8"/>
      <c r="C32" s="9" t="s">
        <v>39</v>
      </c>
      <c r="D32" t="s">
        <v>40</v>
      </c>
      <c r="E32" t="s">
        <v>41</v>
      </c>
      <c r="F32" s="10"/>
      <c r="G32" s="10"/>
      <c r="H32" s="10">
        <v>7.0110000000000001</v>
      </c>
    </row>
    <row r="33" spans="1:19" x14ac:dyDescent="0.25">
      <c r="A33" s="8"/>
      <c r="B33" s="8"/>
      <c r="C33" s="9" t="s">
        <v>8</v>
      </c>
      <c r="D33" t="s">
        <v>9</v>
      </c>
      <c r="E33" t="s">
        <v>28</v>
      </c>
      <c r="F33" s="12"/>
      <c r="G33" s="10"/>
      <c r="H33" s="10">
        <v>10</v>
      </c>
      <c r="J33" s="18"/>
    </row>
    <row r="34" spans="1:19" x14ac:dyDescent="0.25">
      <c r="A34" s="8"/>
      <c r="B34" s="8" t="s">
        <v>24</v>
      </c>
      <c r="C34" s="9" t="s">
        <v>61</v>
      </c>
      <c r="D34" t="s">
        <v>8</v>
      </c>
      <c r="E34" t="s">
        <v>64</v>
      </c>
      <c r="F34" s="18">
        <v>-0.17299999999999999</v>
      </c>
      <c r="G34" s="18">
        <v>0.61799999999999999</v>
      </c>
      <c r="H34" s="18">
        <v>0.34</v>
      </c>
      <c r="J34" s="18"/>
      <c r="K34" s="12"/>
      <c r="L34" s="10"/>
      <c r="M34" s="10"/>
    </row>
    <row r="35" spans="1:19" x14ac:dyDescent="0.25">
      <c r="A35" s="8"/>
      <c r="B35" s="8"/>
      <c r="C35" s="9" t="s">
        <v>62</v>
      </c>
      <c r="D35" t="s">
        <v>8</v>
      </c>
      <c r="E35" t="s">
        <v>63</v>
      </c>
      <c r="F35" s="18">
        <v>-0.17299999999999999</v>
      </c>
      <c r="G35" s="18">
        <v>-0.61199999999999999</v>
      </c>
      <c r="H35" s="18">
        <v>0.34</v>
      </c>
      <c r="J35" s="18"/>
      <c r="K35" s="12"/>
      <c r="L35" s="10"/>
      <c r="M35" s="10"/>
    </row>
    <row r="36" spans="1:19" x14ac:dyDescent="0.25">
      <c r="A36" s="8"/>
      <c r="B36" s="9"/>
      <c r="C36" s="9" t="s">
        <v>8</v>
      </c>
      <c r="D36" t="s">
        <v>9</v>
      </c>
      <c r="F36" s="10"/>
      <c r="G36" s="10"/>
      <c r="H36" s="10">
        <v>0.5</v>
      </c>
    </row>
    <row r="37" spans="1:19" x14ac:dyDescent="0.25">
      <c r="A37" s="8"/>
      <c r="B37" s="13" t="s">
        <v>10</v>
      </c>
      <c r="C37" s="14" t="s">
        <v>71</v>
      </c>
      <c r="D37" t="s">
        <v>8</v>
      </c>
      <c r="E37" t="s">
        <v>74</v>
      </c>
      <c r="F37" s="22">
        <v>-1E-3</v>
      </c>
      <c r="G37" s="22">
        <v>0.47799999999999998</v>
      </c>
      <c r="H37" s="22">
        <v>0.73299999999999998</v>
      </c>
      <c r="J37" s="14" t="s">
        <v>25</v>
      </c>
      <c r="K37" s="14"/>
      <c r="L37" s="14"/>
      <c r="M37" s="14"/>
      <c r="N37" s="14"/>
      <c r="O37" s="14"/>
      <c r="Q37" s="23"/>
      <c r="R37" s="23"/>
      <c r="S37" s="23"/>
    </row>
    <row r="38" spans="1:19" x14ac:dyDescent="0.25">
      <c r="A38" s="8"/>
      <c r="B38" s="13"/>
      <c r="C38" s="14" t="s">
        <v>72</v>
      </c>
      <c r="D38" t="s">
        <v>8</v>
      </c>
      <c r="E38" t="s">
        <v>73</v>
      </c>
      <c r="F38" s="22">
        <v>-1E-3</v>
      </c>
      <c r="G38" s="22">
        <v>-0.47799999999999998</v>
      </c>
      <c r="H38" s="22">
        <v>0.73299999999999998</v>
      </c>
      <c r="J38" s="14" t="s">
        <v>25</v>
      </c>
      <c r="K38" s="14"/>
      <c r="L38" s="14"/>
      <c r="M38" s="14"/>
      <c r="N38" s="14"/>
      <c r="O38" s="14"/>
      <c r="Q38" s="23"/>
      <c r="R38" s="23"/>
      <c r="S38" s="23"/>
    </row>
    <row r="39" spans="1:19" x14ac:dyDescent="0.25">
      <c r="A39" s="8"/>
      <c r="B39" s="13"/>
      <c r="C39" s="14" t="s">
        <v>69</v>
      </c>
      <c r="D39" t="s">
        <v>8</v>
      </c>
      <c r="E39" t="s">
        <v>75</v>
      </c>
      <c r="F39" s="22">
        <v>-3.0000000000000001E-3</v>
      </c>
      <c r="G39" s="22">
        <v>0.49299999999999999</v>
      </c>
      <c r="H39" s="22">
        <v>0.52300000000000002</v>
      </c>
      <c r="J39" s="14" t="s">
        <v>25</v>
      </c>
      <c r="K39" s="14"/>
      <c r="L39" s="14"/>
      <c r="M39" s="14"/>
      <c r="N39" s="14"/>
      <c r="O39" s="14"/>
      <c r="Q39" s="23"/>
      <c r="R39" s="23"/>
      <c r="S39" s="23"/>
    </row>
    <row r="40" spans="1:19" x14ac:dyDescent="0.25">
      <c r="A40" s="8"/>
      <c r="B40" s="13"/>
      <c r="C40" s="14" t="s">
        <v>70</v>
      </c>
      <c r="D40" t="s">
        <v>8</v>
      </c>
      <c r="E40" t="s">
        <v>76</v>
      </c>
      <c r="F40" s="22">
        <v>-3.0000000000000001E-3</v>
      </c>
      <c r="G40" s="22">
        <v>-0.48699999999999999</v>
      </c>
      <c r="H40" s="22">
        <v>0.52300000000000002</v>
      </c>
      <c r="J40" s="14" t="s">
        <v>25</v>
      </c>
      <c r="K40" s="14"/>
      <c r="L40" s="14"/>
      <c r="M40" s="14"/>
      <c r="N40" s="14"/>
      <c r="O40" s="14"/>
      <c r="Q40" s="23"/>
      <c r="R40" s="23"/>
      <c r="S40" s="23"/>
    </row>
    <row r="41" spans="1:19" x14ac:dyDescent="0.25">
      <c r="A41" s="8"/>
      <c r="B41" s="8"/>
      <c r="C41" s="9" t="s">
        <v>11</v>
      </c>
      <c r="D41" t="s">
        <v>9</v>
      </c>
      <c r="F41" s="10"/>
      <c r="G41" s="10"/>
      <c r="H41" s="10">
        <v>3.6529410000000002</v>
      </c>
    </row>
    <row r="42" spans="1:19" x14ac:dyDescent="0.25">
      <c r="A42" s="8"/>
      <c r="B42" s="8"/>
      <c r="C42" s="9" t="s">
        <v>12</v>
      </c>
      <c r="D42" t="s">
        <v>9</v>
      </c>
      <c r="F42" s="10"/>
      <c r="G42" s="10"/>
      <c r="H42" s="10">
        <v>4.3157700000000006</v>
      </c>
    </row>
    <row r="43" spans="1:19" x14ac:dyDescent="0.25">
      <c r="A43" s="8"/>
      <c r="B43" s="15" t="s">
        <v>13</v>
      </c>
      <c r="C43" s="16" t="s">
        <v>14</v>
      </c>
      <c r="D43" t="s">
        <v>8</v>
      </c>
      <c r="F43" s="12"/>
      <c r="G43" s="12"/>
      <c r="H43" s="24">
        <f>0.25+H44</f>
        <v>0.10500000000000001</v>
      </c>
      <c r="J43" s="5" t="s">
        <v>26</v>
      </c>
      <c r="K43" s="5"/>
      <c r="L43" s="5"/>
      <c r="M43" s="5"/>
      <c r="N43" s="5"/>
    </row>
    <row r="44" spans="1:19" x14ac:dyDescent="0.25">
      <c r="A44" s="8"/>
      <c r="B44" s="15"/>
      <c r="C44" s="16" t="s">
        <v>15</v>
      </c>
      <c r="D44" t="s">
        <v>8</v>
      </c>
      <c r="F44" s="12"/>
      <c r="G44" s="12"/>
      <c r="H44" s="24">
        <v>-0.14499999999999999</v>
      </c>
      <c r="J44" s="5" t="s">
        <v>26</v>
      </c>
      <c r="K44" s="5"/>
      <c r="L44" s="5"/>
      <c r="M44" s="5"/>
      <c r="N44" s="5"/>
    </row>
    <row r="45" spans="1:19" x14ac:dyDescent="0.25">
      <c r="A45" s="8"/>
      <c r="B45" s="8" t="s">
        <v>34</v>
      </c>
      <c r="C45" s="4" t="s">
        <v>7</v>
      </c>
      <c r="D45" s="5"/>
      <c r="E45" s="5"/>
      <c r="F45" s="4"/>
      <c r="G45" s="5"/>
      <c r="H45" s="19" t="s">
        <v>35</v>
      </c>
    </row>
    <row r="46" spans="1:19" x14ac:dyDescent="0.25">
      <c r="A46" s="8"/>
      <c r="B46" s="8" t="s">
        <v>37</v>
      </c>
      <c r="C46" s="4" t="s">
        <v>7</v>
      </c>
      <c r="D46" s="5"/>
      <c r="E46" s="5"/>
      <c r="F46" s="4"/>
      <c r="G46" s="5"/>
      <c r="H46" s="19" t="s">
        <v>36</v>
      </c>
    </row>
  </sheetData>
  <conditionalFormatting sqref="B23">
    <cfRule type="cellIs" dxfId="9" priority="2" operator="equal">
      <formula>"class"</formula>
    </cfRule>
  </conditionalFormatting>
  <conditionalFormatting sqref="B37:C40 C41:C44 B41:B46">
    <cfRule type="cellIs" dxfId="8" priority="3" operator="equal">
      <formula>"class"</formula>
    </cfRule>
  </conditionalFormatting>
  <conditionalFormatting sqref="E37:E44">
    <cfRule type="cellIs" dxfId="7" priority="7" operator="equal">
      <formula>"class"</formula>
    </cfRule>
  </conditionalFormatting>
  <conditionalFormatting sqref="J43:J44">
    <cfRule type="cellIs" dxfId="6" priority="4" operator="equal">
      <formula>"class"</formula>
    </cfRule>
  </conditionalFormatting>
  <conditionalFormatting sqref="B16">
    <cfRule type="cellIs" dxfId="0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C0C4-4E7C-43AE-AF6A-012A1CA21E06}">
  <sheetPr>
    <tabColor theme="7" tint="0.59999389629810485"/>
  </sheetPr>
  <dimension ref="A1:S46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15" sqref="A15:XFD16"/>
    </sheetView>
  </sheetViews>
  <sheetFormatPr defaultRowHeight="15" x14ac:dyDescent="0.25"/>
  <cols>
    <col min="1" max="1" width="14.42578125" style="17" customWidth="1"/>
    <col min="2" max="2" width="19" customWidth="1"/>
    <col min="3" max="3" width="15.7109375" customWidth="1"/>
    <col min="4" max="4" width="11.140625" customWidth="1"/>
    <col min="5" max="5" width="35" customWidth="1"/>
    <col min="6" max="8" width="10" customWidth="1"/>
    <col min="9" max="9" width="6.7109375" customWidth="1"/>
    <col min="10" max="10" width="8" customWidth="1"/>
    <col min="11" max="13" width="6.7109375" customWidth="1"/>
  </cols>
  <sheetData>
    <row r="1" spans="1:13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3" x14ac:dyDescent="0.25">
      <c r="A2" s="4" t="s">
        <v>5</v>
      </c>
      <c r="B2" s="5"/>
      <c r="C2" s="5"/>
      <c r="D2" s="5"/>
      <c r="E2" s="5"/>
      <c r="F2" s="6"/>
      <c r="G2" s="6"/>
      <c r="H2" s="7" t="s">
        <v>17</v>
      </c>
    </row>
    <row r="3" spans="1:13" x14ac:dyDescent="0.25">
      <c r="A3" s="8" t="s">
        <v>6</v>
      </c>
      <c r="B3" s="9"/>
      <c r="C3" s="9"/>
      <c r="F3" s="10"/>
      <c r="G3" s="10"/>
      <c r="H3" s="11" t="s">
        <v>78</v>
      </c>
    </row>
    <row r="4" spans="1:13" x14ac:dyDescent="0.25">
      <c r="A4" s="4" t="s">
        <v>7</v>
      </c>
      <c r="B4" s="5"/>
      <c r="C4" s="5"/>
      <c r="D4" s="5"/>
      <c r="E4" s="5"/>
      <c r="F4" s="6"/>
      <c r="G4" s="6"/>
      <c r="H4" s="7" t="s">
        <v>32</v>
      </c>
      <c r="J4" s="18"/>
    </row>
    <row r="5" spans="1:13" x14ac:dyDescent="0.25">
      <c r="A5" s="8" t="s">
        <v>32</v>
      </c>
      <c r="B5" s="4" t="s">
        <v>7</v>
      </c>
      <c r="C5" s="5"/>
      <c r="D5" s="5"/>
      <c r="E5" s="5"/>
      <c r="F5" s="6"/>
      <c r="G5" s="6"/>
      <c r="H5" s="7" t="s">
        <v>32</v>
      </c>
      <c r="J5" s="18"/>
    </row>
    <row r="6" spans="1:13" x14ac:dyDescent="0.25">
      <c r="A6" s="8"/>
      <c r="B6" s="9" t="s">
        <v>31</v>
      </c>
      <c r="C6" s="9" t="s">
        <v>16</v>
      </c>
      <c r="D6" t="s">
        <v>8</v>
      </c>
      <c r="E6" t="s">
        <v>21</v>
      </c>
      <c r="F6" s="18">
        <v>0.83199999999999996</v>
      </c>
      <c r="G6" s="18">
        <v>0.44</v>
      </c>
      <c r="H6" s="18">
        <v>0.45500000000000002</v>
      </c>
      <c r="K6" s="10"/>
      <c r="L6" s="10"/>
      <c r="M6" s="10"/>
    </row>
    <row r="7" spans="1:13" x14ac:dyDescent="0.25">
      <c r="A7" s="8"/>
      <c r="B7" s="9"/>
      <c r="C7" s="9" t="s">
        <v>54</v>
      </c>
      <c r="D7" t="s">
        <v>8</v>
      </c>
      <c r="E7" t="s">
        <v>55</v>
      </c>
      <c r="F7" s="18">
        <v>0</v>
      </c>
      <c r="G7" s="18">
        <v>0.44</v>
      </c>
      <c r="H7" s="18">
        <v>0.40300000000000002</v>
      </c>
      <c r="K7" s="10"/>
      <c r="L7" s="10"/>
      <c r="M7" s="10"/>
    </row>
    <row r="8" spans="1:13" x14ac:dyDescent="0.25">
      <c r="A8" s="8"/>
      <c r="B8" s="9"/>
      <c r="C8" s="9" t="s">
        <v>53</v>
      </c>
      <c r="D8" t="s">
        <v>8</v>
      </c>
      <c r="E8" t="s">
        <v>56</v>
      </c>
      <c r="F8" s="18">
        <v>0</v>
      </c>
      <c r="G8" s="18">
        <v>-0.435</v>
      </c>
      <c r="H8" s="18">
        <v>0.40300000000000002</v>
      </c>
      <c r="K8" s="10"/>
      <c r="L8" s="10"/>
      <c r="M8" s="10"/>
    </row>
    <row r="9" spans="1:13" x14ac:dyDescent="0.25">
      <c r="A9" s="8"/>
      <c r="B9" s="9"/>
      <c r="C9" s="9" t="s">
        <v>8</v>
      </c>
      <c r="D9" t="s">
        <v>9</v>
      </c>
      <c r="F9" s="10"/>
      <c r="G9" s="10"/>
      <c r="H9" s="10">
        <v>10</v>
      </c>
    </row>
    <row r="10" spans="1:13" x14ac:dyDescent="0.25">
      <c r="A10" s="8"/>
      <c r="B10" s="9" t="s">
        <v>20</v>
      </c>
      <c r="C10" s="9" t="s">
        <v>16</v>
      </c>
      <c r="D10" t="s">
        <v>8</v>
      </c>
      <c r="E10" t="s">
        <v>22</v>
      </c>
      <c r="F10" s="18">
        <v>-0.20699999999999999</v>
      </c>
      <c r="G10" s="18">
        <v>-0.434</v>
      </c>
      <c r="H10" s="18">
        <v>0.46800000000000003</v>
      </c>
      <c r="K10" s="10"/>
      <c r="L10" s="10"/>
      <c r="M10" s="10"/>
    </row>
    <row r="11" spans="1:13" x14ac:dyDescent="0.25">
      <c r="A11" s="8"/>
      <c r="B11" s="9"/>
      <c r="C11" s="9" t="s">
        <v>19</v>
      </c>
      <c r="D11" t="s">
        <v>8</v>
      </c>
      <c r="E11" t="s">
        <v>23</v>
      </c>
      <c r="F11" s="18">
        <v>-0.121</v>
      </c>
      <c r="G11" s="18">
        <v>0.38</v>
      </c>
      <c r="H11" s="18">
        <v>0.41699999999999998</v>
      </c>
      <c r="K11" s="10"/>
      <c r="L11" s="10"/>
      <c r="M11" s="10"/>
    </row>
    <row r="12" spans="1:13" x14ac:dyDescent="0.25">
      <c r="A12" s="8"/>
      <c r="B12" s="9"/>
      <c r="C12" s="9" t="s">
        <v>8</v>
      </c>
      <c r="D12" t="s">
        <v>9</v>
      </c>
      <c r="F12" s="10"/>
      <c r="G12" s="10"/>
      <c r="H12" s="10">
        <v>4</v>
      </c>
    </row>
    <row r="13" spans="1:13" x14ac:dyDescent="0.25">
      <c r="A13" s="8"/>
      <c r="B13" s="8" t="s">
        <v>18</v>
      </c>
      <c r="C13" s="9" t="s">
        <v>8</v>
      </c>
      <c r="D13" t="s">
        <v>9</v>
      </c>
      <c r="E13" t="s">
        <v>29</v>
      </c>
      <c r="F13" s="12"/>
      <c r="G13" s="10"/>
      <c r="H13" s="10">
        <v>143</v>
      </c>
      <c r="J13" s="18"/>
    </row>
    <row r="14" spans="1:13" x14ac:dyDescent="0.25">
      <c r="A14" s="8"/>
      <c r="B14" s="8"/>
      <c r="C14" s="9" t="s">
        <v>30</v>
      </c>
      <c r="D14" t="s">
        <v>8</v>
      </c>
      <c r="F14" s="10">
        <v>0</v>
      </c>
      <c r="G14" s="10">
        <v>0</v>
      </c>
      <c r="H14" s="10">
        <v>0.38800000000000001</v>
      </c>
      <c r="J14" s="18"/>
      <c r="K14" s="10"/>
      <c r="L14" s="10"/>
      <c r="M14" s="10"/>
    </row>
    <row r="15" spans="1:13" x14ac:dyDescent="0.25">
      <c r="A15" s="8"/>
      <c r="B15" s="8"/>
      <c r="C15" s="9" t="s">
        <v>49</v>
      </c>
      <c r="D15" t="s">
        <v>81</v>
      </c>
      <c r="E15" t="s">
        <v>79</v>
      </c>
      <c r="F15" s="10"/>
      <c r="G15" s="10"/>
      <c r="H15" s="10">
        <v>0</v>
      </c>
    </row>
    <row r="16" spans="1:13" x14ac:dyDescent="0.25">
      <c r="A16" s="8"/>
      <c r="B16" s="8"/>
      <c r="C16" s="9" t="s">
        <v>46</v>
      </c>
      <c r="D16" t="s">
        <v>82</v>
      </c>
      <c r="E16" t="s">
        <v>80</v>
      </c>
      <c r="F16" s="10"/>
      <c r="G16" s="10"/>
      <c r="H16" s="10">
        <v>0</v>
      </c>
    </row>
    <row r="17" spans="1:15" x14ac:dyDescent="0.25">
      <c r="A17" s="8"/>
      <c r="B17" s="8" t="s">
        <v>43</v>
      </c>
      <c r="C17" s="4" t="s">
        <v>7</v>
      </c>
      <c r="D17" s="5"/>
      <c r="E17" s="5"/>
      <c r="F17" s="4"/>
      <c r="G17" s="5"/>
      <c r="H17" s="19" t="s">
        <v>51</v>
      </c>
    </row>
    <row r="18" spans="1:15" x14ac:dyDescent="0.25">
      <c r="A18" s="8"/>
      <c r="B18" s="8"/>
      <c r="C18" s="9" t="s">
        <v>19</v>
      </c>
      <c r="D18" t="s">
        <v>8</v>
      </c>
      <c r="F18" s="18">
        <v>0</v>
      </c>
      <c r="G18" s="18">
        <v>0</v>
      </c>
      <c r="H18" s="18">
        <v>0.47899999999999998</v>
      </c>
    </row>
    <row r="19" spans="1:15" x14ac:dyDescent="0.25">
      <c r="A19" s="8"/>
      <c r="B19" s="8"/>
      <c r="C19" s="9" t="s">
        <v>16</v>
      </c>
      <c r="D19" t="s">
        <v>8</v>
      </c>
      <c r="F19" s="18">
        <v>0</v>
      </c>
      <c r="G19" s="18">
        <v>0.35499999999999998</v>
      </c>
      <c r="H19" s="18">
        <v>0.61799999999999999</v>
      </c>
    </row>
    <row r="20" spans="1:15" x14ac:dyDescent="0.25">
      <c r="A20" s="8"/>
      <c r="B20" s="8"/>
      <c r="C20" s="9" t="s">
        <v>44</v>
      </c>
      <c r="D20" t="s">
        <v>8</v>
      </c>
      <c r="F20" s="10"/>
      <c r="G20" s="10"/>
      <c r="H20" s="10">
        <v>0.04</v>
      </c>
    </row>
    <row r="21" spans="1:15" x14ac:dyDescent="0.25">
      <c r="A21" s="8"/>
      <c r="B21" s="8"/>
      <c r="C21" s="9" t="s">
        <v>50</v>
      </c>
      <c r="D21" t="s">
        <v>8</v>
      </c>
      <c r="E21" t="s">
        <v>52</v>
      </c>
      <c r="F21" s="10"/>
      <c r="G21" s="10"/>
      <c r="H21" s="10">
        <v>0</v>
      </c>
      <c r="I21" s="10">
        <v>0</v>
      </c>
      <c r="J21" s="10">
        <v>-0.04</v>
      </c>
    </row>
    <row r="22" spans="1:15" x14ac:dyDescent="0.25">
      <c r="A22" s="8"/>
      <c r="B22" s="8"/>
      <c r="C22" s="9" t="s">
        <v>49</v>
      </c>
      <c r="D22" t="s">
        <v>45</v>
      </c>
      <c r="F22" s="10"/>
      <c r="G22" s="10"/>
      <c r="H22" s="10">
        <v>100000</v>
      </c>
    </row>
    <row r="23" spans="1:15" x14ac:dyDescent="0.25">
      <c r="A23" s="8"/>
      <c r="B23" s="8"/>
      <c r="C23" s="9" t="s">
        <v>46</v>
      </c>
      <c r="D23" t="s">
        <v>47</v>
      </c>
      <c r="F23" s="10"/>
      <c r="G23" s="10"/>
      <c r="H23" s="10">
        <v>150</v>
      </c>
    </row>
    <row r="24" spans="1:15" x14ac:dyDescent="0.25">
      <c r="A24" s="8"/>
      <c r="B24" s="8"/>
      <c r="C24" s="9" t="s">
        <v>48</v>
      </c>
      <c r="D24" t="s">
        <v>8</v>
      </c>
      <c r="F24" s="10"/>
      <c r="G24" s="10"/>
      <c r="H24" s="10">
        <v>1E-4</v>
      </c>
    </row>
    <row r="25" spans="1:15" x14ac:dyDescent="0.25">
      <c r="A25" s="8"/>
      <c r="B25" s="8" t="s">
        <v>27</v>
      </c>
      <c r="C25" s="9" t="s">
        <v>54</v>
      </c>
      <c r="D25" t="s">
        <v>8</v>
      </c>
      <c r="E25" t="s">
        <v>68</v>
      </c>
      <c r="F25" s="18">
        <v>0</v>
      </c>
      <c r="G25" s="18">
        <v>0.64100000000000001</v>
      </c>
      <c r="H25" s="18">
        <v>0.39900000000000002</v>
      </c>
      <c r="J25" s="18"/>
      <c r="K25" s="12"/>
      <c r="L25" s="10"/>
      <c r="M25" s="10"/>
    </row>
    <row r="26" spans="1:15" x14ac:dyDescent="0.25">
      <c r="A26" s="8"/>
      <c r="B26" s="8"/>
      <c r="C26" s="9" t="s">
        <v>53</v>
      </c>
      <c r="D26" t="s">
        <v>8</v>
      </c>
      <c r="E26" t="s">
        <v>67</v>
      </c>
      <c r="F26" s="18">
        <v>0</v>
      </c>
      <c r="G26" s="18">
        <v>-0.63600000000000001</v>
      </c>
      <c r="H26" s="18">
        <v>0.39900000000000002</v>
      </c>
      <c r="J26" s="18"/>
      <c r="K26" s="12"/>
      <c r="L26" s="10"/>
      <c r="M26" s="10"/>
    </row>
    <row r="27" spans="1:15" x14ac:dyDescent="0.25">
      <c r="A27" s="8"/>
      <c r="B27" s="8"/>
      <c r="C27" s="9" t="s">
        <v>57</v>
      </c>
      <c r="D27" t="s">
        <v>8</v>
      </c>
      <c r="F27" s="21">
        <v>-0.126</v>
      </c>
      <c r="G27" s="21">
        <v>0.61299999999999999</v>
      </c>
      <c r="H27" s="21">
        <v>0.26500000000000001</v>
      </c>
      <c r="J27" s="20" t="s">
        <v>77</v>
      </c>
      <c r="K27" s="20"/>
      <c r="L27" s="20"/>
      <c r="M27" s="20"/>
      <c r="N27" s="20"/>
      <c r="O27" s="20"/>
    </row>
    <row r="28" spans="1:15" x14ac:dyDescent="0.25">
      <c r="A28" s="8"/>
      <c r="B28" s="8"/>
      <c r="C28" s="9" t="s">
        <v>58</v>
      </c>
      <c r="D28" t="s">
        <v>8</v>
      </c>
      <c r="F28" s="21">
        <v>-0.126</v>
      </c>
      <c r="G28" s="21">
        <v>-0.61299999999999999</v>
      </c>
      <c r="H28" s="21">
        <v>0.26500000000000001</v>
      </c>
      <c r="J28" s="20" t="s">
        <v>77</v>
      </c>
      <c r="K28" s="20"/>
      <c r="L28" s="20"/>
      <c r="M28" s="20"/>
      <c r="N28" s="20"/>
      <c r="O28" s="20"/>
    </row>
    <row r="29" spans="1:15" x14ac:dyDescent="0.25">
      <c r="A29" s="8"/>
      <c r="B29" s="8"/>
      <c r="C29" s="9" t="s">
        <v>59</v>
      </c>
      <c r="D29" t="s">
        <v>8</v>
      </c>
      <c r="E29" t="s">
        <v>66</v>
      </c>
      <c r="F29" s="18">
        <v>0</v>
      </c>
      <c r="G29" s="18">
        <v>0.75900000000000001</v>
      </c>
      <c r="H29" s="18">
        <v>0.36214000000000002</v>
      </c>
      <c r="K29" s="10"/>
      <c r="L29" s="10"/>
      <c r="M29" s="10"/>
    </row>
    <row r="30" spans="1:15" x14ac:dyDescent="0.25">
      <c r="A30" s="8"/>
      <c r="B30" s="8"/>
      <c r="C30" s="9" t="s">
        <v>60</v>
      </c>
      <c r="D30" t="s">
        <v>8</v>
      </c>
      <c r="E30" t="s">
        <v>65</v>
      </c>
      <c r="F30" s="18">
        <v>0</v>
      </c>
      <c r="G30" s="18">
        <v>-0.754</v>
      </c>
      <c r="H30" s="18">
        <v>0.36214000000000002</v>
      </c>
      <c r="K30" s="10"/>
      <c r="L30" s="10"/>
      <c r="M30" s="10"/>
    </row>
    <row r="31" spans="1:15" x14ac:dyDescent="0.25">
      <c r="A31" s="8"/>
      <c r="B31" s="8"/>
      <c r="C31" s="9" t="s">
        <v>38</v>
      </c>
      <c r="D31" t="s">
        <v>40</v>
      </c>
      <c r="E31" t="s">
        <v>42</v>
      </c>
      <c r="F31" s="10"/>
      <c r="G31" s="10"/>
      <c r="H31" s="10">
        <v>-3.25</v>
      </c>
    </row>
    <row r="32" spans="1:15" x14ac:dyDescent="0.25">
      <c r="A32" s="8"/>
      <c r="B32" s="8"/>
      <c r="C32" s="9" t="s">
        <v>39</v>
      </c>
      <c r="D32" t="s">
        <v>40</v>
      </c>
      <c r="E32" t="s">
        <v>41</v>
      </c>
      <c r="F32" s="10"/>
      <c r="G32" s="10"/>
      <c r="H32" s="10">
        <v>7.0110000000000001</v>
      </c>
    </row>
    <row r="33" spans="1:19" x14ac:dyDescent="0.25">
      <c r="A33" s="8"/>
      <c r="B33" s="8"/>
      <c r="C33" s="9" t="s">
        <v>8</v>
      </c>
      <c r="D33" t="s">
        <v>9</v>
      </c>
      <c r="E33" t="s">
        <v>28</v>
      </c>
      <c r="F33" s="12"/>
      <c r="G33" s="10"/>
      <c r="H33" s="10">
        <v>10</v>
      </c>
      <c r="J33" s="18"/>
    </row>
    <row r="34" spans="1:19" x14ac:dyDescent="0.25">
      <c r="A34" s="8"/>
      <c r="B34" s="8" t="s">
        <v>24</v>
      </c>
      <c r="C34" s="9" t="s">
        <v>61</v>
      </c>
      <c r="D34" t="s">
        <v>8</v>
      </c>
      <c r="E34" t="s">
        <v>64</v>
      </c>
      <c r="F34" s="18">
        <v>0.17299999999999999</v>
      </c>
      <c r="G34" s="18">
        <v>0.61799999999999999</v>
      </c>
      <c r="H34" s="18">
        <v>0.34</v>
      </c>
      <c r="J34" s="18"/>
      <c r="K34" s="12"/>
      <c r="L34" s="10"/>
      <c r="M34" s="10"/>
    </row>
    <row r="35" spans="1:19" x14ac:dyDescent="0.25">
      <c r="A35" s="8"/>
      <c r="B35" s="8"/>
      <c r="C35" s="9" t="s">
        <v>62</v>
      </c>
      <c r="D35" t="s">
        <v>8</v>
      </c>
      <c r="E35" t="s">
        <v>63</v>
      </c>
      <c r="F35" s="18">
        <v>0.17299999999999999</v>
      </c>
      <c r="G35" s="18">
        <v>-0.61199999999999999</v>
      </c>
      <c r="H35" s="18">
        <v>0.34</v>
      </c>
      <c r="J35" s="18"/>
      <c r="K35" s="12"/>
      <c r="L35" s="10"/>
      <c r="M35" s="10"/>
    </row>
    <row r="36" spans="1:19" x14ac:dyDescent="0.25">
      <c r="A36" s="8"/>
      <c r="B36" s="9"/>
      <c r="C36" s="9" t="s">
        <v>8</v>
      </c>
      <c r="D36" t="s">
        <v>9</v>
      </c>
      <c r="F36" s="10"/>
      <c r="G36" s="10"/>
      <c r="H36" s="10">
        <v>0.5</v>
      </c>
    </row>
    <row r="37" spans="1:19" x14ac:dyDescent="0.25">
      <c r="A37" s="8"/>
      <c r="B37" s="13" t="s">
        <v>10</v>
      </c>
      <c r="C37" s="14" t="s">
        <v>71</v>
      </c>
      <c r="D37" t="s">
        <v>8</v>
      </c>
      <c r="E37" t="s">
        <v>74</v>
      </c>
      <c r="F37" s="22">
        <v>1E-3</v>
      </c>
      <c r="G37" s="22">
        <v>0.47799999999999998</v>
      </c>
      <c r="H37" s="22">
        <v>0.83299999999999996</v>
      </c>
      <c r="J37" s="14" t="s">
        <v>25</v>
      </c>
      <c r="K37" s="14"/>
      <c r="L37" s="14"/>
      <c r="M37" s="14"/>
      <c r="N37" s="14"/>
      <c r="O37" s="14"/>
      <c r="Q37" s="23"/>
      <c r="R37" s="23"/>
      <c r="S37" s="23"/>
    </row>
    <row r="38" spans="1:19" x14ac:dyDescent="0.25">
      <c r="A38" s="8"/>
      <c r="B38" s="13"/>
      <c r="C38" s="14" t="s">
        <v>72</v>
      </c>
      <c r="D38" t="s">
        <v>8</v>
      </c>
      <c r="E38" t="s">
        <v>73</v>
      </c>
      <c r="F38" s="22">
        <v>1E-3</v>
      </c>
      <c r="G38" s="22">
        <v>-0.47799999999999998</v>
      </c>
      <c r="H38" s="22">
        <v>0.83299999999999996</v>
      </c>
      <c r="J38" s="14" t="s">
        <v>25</v>
      </c>
      <c r="K38" s="14"/>
      <c r="L38" s="14"/>
      <c r="M38" s="14"/>
      <c r="N38" s="14"/>
      <c r="O38" s="14"/>
      <c r="Q38" s="23"/>
      <c r="R38" s="23"/>
      <c r="S38" s="23"/>
    </row>
    <row r="39" spans="1:19" x14ac:dyDescent="0.25">
      <c r="A39" s="8"/>
      <c r="B39" s="13"/>
      <c r="C39" s="14" t="s">
        <v>69</v>
      </c>
      <c r="D39" t="s">
        <v>8</v>
      </c>
      <c r="E39" t="s">
        <v>75</v>
      </c>
      <c r="F39" s="22">
        <v>3.0000000000000001E-3</v>
      </c>
      <c r="G39" s="22">
        <v>0.49299999999999999</v>
      </c>
      <c r="H39" s="22">
        <v>0.52300000000000002</v>
      </c>
      <c r="J39" s="14" t="s">
        <v>25</v>
      </c>
      <c r="K39" s="14"/>
      <c r="L39" s="14"/>
      <c r="M39" s="14"/>
      <c r="N39" s="14"/>
      <c r="O39" s="14"/>
      <c r="Q39" s="23"/>
      <c r="R39" s="23"/>
      <c r="S39" s="23"/>
    </row>
    <row r="40" spans="1:19" x14ac:dyDescent="0.25">
      <c r="A40" s="8"/>
      <c r="B40" s="13"/>
      <c r="C40" s="14" t="s">
        <v>70</v>
      </c>
      <c r="D40" t="s">
        <v>8</v>
      </c>
      <c r="E40" t="s">
        <v>76</v>
      </c>
      <c r="F40" s="22">
        <v>3.0000000000000001E-3</v>
      </c>
      <c r="G40" s="22">
        <v>-0.48699999999999999</v>
      </c>
      <c r="H40" s="22">
        <v>0.52300000000000002</v>
      </c>
      <c r="J40" s="14" t="s">
        <v>25</v>
      </c>
      <c r="K40" s="14"/>
      <c r="L40" s="14"/>
      <c r="M40" s="14"/>
      <c r="N40" s="14"/>
      <c r="O40" s="14"/>
      <c r="Q40" s="23"/>
      <c r="R40" s="23"/>
      <c r="S40" s="23"/>
    </row>
    <row r="41" spans="1:19" x14ac:dyDescent="0.25">
      <c r="A41" s="8"/>
      <c r="B41" s="8"/>
      <c r="C41" s="9" t="s">
        <v>11</v>
      </c>
      <c r="D41" t="s">
        <v>9</v>
      </c>
      <c r="F41" s="10"/>
      <c r="G41" s="10"/>
      <c r="H41" s="10">
        <v>3.6529410000000002</v>
      </c>
    </row>
    <row r="42" spans="1:19" x14ac:dyDescent="0.25">
      <c r="A42" s="8"/>
      <c r="B42" s="8"/>
      <c r="C42" s="9" t="s">
        <v>12</v>
      </c>
      <c r="D42" t="s">
        <v>9</v>
      </c>
      <c r="F42" s="10"/>
      <c r="G42" s="10"/>
      <c r="H42" s="10">
        <v>4.3157700000000006</v>
      </c>
    </row>
    <row r="43" spans="1:19" x14ac:dyDescent="0.25">
      <c r="A43" s="8"/>
      <c r="B43" s="15" t="s">
        <v>13</v>
      </c>
      <c r="C43" s="16" t="s">
        <v>14</v>
      </c>
      <c r="D43" t="s">
        <v>8</v>
      </c>
      <c r="F43" s="12"/>
      <c r="G43" s="12"/>
      <c r="H43" s="24">
        <v>0.06</v>
      </c>
      <c r="J43" s="5" t="s">
        <v>26</v>
      </c>
      <c r="K43" s="5"/>
      <c r="L43" s="5"/>
      <c r="M43" s="5"/>
      <c r="N43" s="5"/>
    </row>
    <row r="44" spans="1:19" x14ac:dyDescent="0.25">
      <c r="A44" s="8"/>
      <c r="B44" s="15"/>
      <c r="C44" s="16" t="s">
        <v>15</v>
      </c>
      <c r="D44" t="s">
        <v>8</v>
      </c>
      <c r="F44" s="12"/>
      <c r="G44" s="12"/>
      <c r="H44" s="24">
        <v>-0.08</v>
      </c>
      <c r="J44" s="5" t="s">
        <v>26</v>
      </c>
      <c r="K44" s="5"/>
      <c r="L44" s="5"/>
      <c r="M44" s="5"/>
      <c r="N44" s="5"/>
    </row>
    <row r="45" spans="1:19" x14ac:dyDescent="0.25">
      <c r="A45" s="8"/>
      <c r="B45" s="8" t="s">
        <v>34</v>
      </c>
      <c r="C45" s="4" t="s">
        <v>7</v>
      </c>
      <c r="D45" s="5"/>
      <c r="E45" s="5"/>
      <c r="F45" s="4"/>
      <c r="G45" s="5"/>
      <c r="H45" s="19" t="s">
        <v>35</v>
      </c>
    </row>
    <row r="46" spans="1:19" x14ac:dyDescent="0.25">
      <c r="A46" s="8"/>
      <c r="B46" s="8" t="s">
        <v>37</v>
      </c>
      <c r="C46" s="4" t="s">
        <v>7</v>
      </c>
      <c r="D46" s="5"/>
      <c r="E46" s="5"/>
      <c r="F46" s="4"/>
      <c r="G46" s="5"/>
      <c r="H46" s="19" t="s">
        <v>36</v>
      </c>
    </row>
  </sheetData>
  <conditionalFormatting sqref="B23">
    <cfRule type="cellIs" dxfId="5" priority="2" operator="equal">
      <formula>"class"</formula>
    </cfRule>
  </conditionalFormatting>
  <conditionalFormatting sqref="B37:C40 C41:C44 B41:B46">
    <cfRule type="cellIs" dxfId="4" priority="3" operator="equal">
      <formula>"class"</formula>
    </cfRule>
  </conditionalFormatting>
  <conditionalFormatting sqref="E37:E44">
    <cfRule type="cellIs" dxfId="3" priority="5" operator="equal">
      <formula>"class"</formula>
    </cfRule>
  </conditionalFormatting>
  <conditionalFormatting sqref="J43:J44">
    <cfRule type="cellIs" dxfId="2" priority="4" operator="equal">
      <formula>"class"</formula>
    </cfRule>
  </conditionalFormatting>
  <conditionalFormatting sqref="B16">
    <cfRule type="cellIs" dxfId="1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AxleTA2PR_SUV_Landy_f</vt:lpstr>
      <vt:lpstr>AxleTA2PR_Sedan_HambaLG_r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2019-11-05T07:30:43Z</dcterms:created>
  <dcterms:modified xsi:type="dcterms:W3CDTF">2026-04-13T12:28:03Z</dcterms:modified>
</cp:coreProperties>
</file>