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uspension\AxleTA2PRNoSteer\"/>
    </mc:Choice>
  </mc:AlternateContent>
  <xr:revisionPtr revIDLastSave="0" documentId="13_ncr:1_{FFD5E996-8058-47BC-848D-917B927CB5D1}" xr6:coauthVersionLast="47" xr6:coauthVersionMax="47" xr10:uidLastSave="{00000000-0000-0000-0000-000000000000}"/>
  <bookViews>
    <workbookView xWindow="30225" yWindow="1200" windowWidth="21600" windowHeight="11865" tabRatio="794" xr2:uid="{00000000-000D-0000-FFFF-FFFF00000000}"/>
  </bookViews>
  <sheets>
    <sheet name="Sedan_HambaLG_r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6" l="1"/>
  <c r="G17" i="6"/>
</calcChain>
</file>

<file path=xl/sharedStrings.xml><?xml version="1.0" encoding="utf-8"?>
<sst xmlns="http://schemas.openxmlformats.org/spreadsheetml/2006/main" count="169" uniqueCount="99">
  <si>
    <t>Units</t>
  </si>
  <si>
    <t>Comments</t>
  </si>
  <si>
    <t>x</t>
  </si>
  <si>
    <t>y</t>
  </si>
  <si>
    <t>z or scalar</t>
  </si>
  <si>
    <t>Type</t>
  </si>
  <si>
    <t>Instance</t>
  </si>
  <si>
    <t>class</t>
  </si>
  <si>
    <t>m</t>
  </si>
  <si>
    <t>kg</t>
  </si>
  <si>
    <t>mPiston</t>
  </si>
  <si>
    <t>mCylinder</t>
  </si>
  <si>
    <t>Endstop</t>
  </si>
  <si>
    <t>xMax</t>
  </si>
  <si>
    <t>xMin</t>
  </si>
  <si>
    <t>sBody</t>
  </si>
  <si>
    <t>Susp</t>
  </si>
  <si>
    <t>Axle</t>
  </si>
  <si>
    <t>sAxle</t>
  </si>
  <si>
    <t>PanhardRod</t>
  </si>
  <si>
    <t>J-01, J-03</t>
  </si>
  <si>
    <t>J-05</t>
  </si>
  <si>
    <t>J-06</t>
  </si>
  <si>
    <t>Must be consistent with values in Spring, Damper</t>
  </si>
  <si>
    <t>Must be consistent with value in Dampers</t>
  </si>
  <si>
    <t>Axle housing mass</t>
  </si>
  <si>
    <t>sCG</t>
  </si>
  <si>
    <t>TrailingArm</t>
  </si>
  <si>
    <t>AxleTA2PR</t>
  </si>
  <si>
    <t>Bumpstop</t>
  </si>
  <si>
    <t>xHeight</t>
  </si>
  <si>
    <t>N/m</t>
  </si>
  <si>
    <t>d</t>
  </si>
  <si>
    <t>N/(m/s)</t>
  </si>
  <si>
    <t>xTransition</t>
  </si>
  <si>
    <t>K</t>
  </si>
  <si>
    <t>sPointCloud</t>
  </si>
  <si>
    <t>SphereSurface</t>
  </si>
  <si>
    <t>[xyz], npts x 3, ref frame is sChassis</t>
  </si>
  <si>
    <t>sAxleR</t>
  </si>
  <si>
    <t>sAxleL</t>
  </si>
  <si>
    <t>J-02</t>
  </si>
  <si>
    <t>J-04</t>
  </si>
  <si>
    <t>sWheelCentreL</t>
  </si>
  <si>
    <t>sWheelCentreR</t>
  </si>
  <si>
    <t>sBottomL</t>
  </si>
  <si>
    <t>sBottomR</t>
  </si>
  <si>
    <t>sTopL</t>
  </si>
  <si>
    <t>sTopR</t>
  </si>
  <si>
    <t>Spring</t>
  </si>
  <si>
    <t>Damper</t>
  </si>
  <si>
    <t>Spring to Body, Left</t>
  </si>
  <si>
    <t>Spring to Body, Right</t>
  </si>
  <si>
    <t>Spring to Axle, Left</t>
  </si>
  <si>
    <t>Spring to Axle, Right</t>
  </si>
  <si>
    <t>Damper to Body, Left</t>
  </si>
  <si>
    <t>Damper to Body, Right</t>
  </si>
  <si>
    <t>Damper to Axle, Left</t>
  </si>
  <si>
    <t>Damper to Axle, Right</t>
  </si>
  <si>
    <t>xWCtoBearing</t>
  </si>
  <si>
    <t>Wheel Center to Bearing</t>
  </si>
  <si>
    <t>StubAxle</t>
  </si>
  <si>
    <t>xAxle</t>
  </si>
  <si>
    <t>Axle length</t>
  </si>
  <si>
    <t>AxleTA2PRNoSteer</t>
  </si>
  <si>
    <t>AxleTA2PRNoSteer_Sedan_HambaLG_r</t>
  </si>
  <si>
    <t>sOutboardL</t>
  </si>
  <si>
    <t>sOutboardR</t>
  </si>
  <si>
    <t>Beam</t>
  </si>
  <si>
    <t>xcX</t>
  </si>
  <si>
    <t>Beam cross section, x points</t>
  </si>
  <si>
    <t>xcZ</t>
  </si>
  <si>
    <t>Beam cross section, z points</t>
  </si>
  <si>
    <t>density</t>
  </si>
  <si>
    <t>kg/m^3</t>
  </si>
  <si>
    <t>E</t>
  </si>
  <si>
    <t>GPa</t>
  </si>
  <si>
    <t>Young's Modulus</t>
  </si>
  <si>
    <t>nu</t>
  </si>
  <si>
    <t>ratio</t>
  </si>
  <si>
    <t>Poisson's Ratio</t>
  </si>
  <si>
    <t>zDamping</t>
  </si>
  <si>
    <t>s</t>
  </si>
  <si>
    <t>Damping Constant</t>
  </si>
  <si>
    <t>numElements</t>
  </si>
  <si>
    <t>Integer for beam discretization</t>
  </si>
  <si>
    <t>k</t>
  </si>
  <si>
    <t>N*m/deg</t>
  </si>
  <si>
    <t>N*m/(deg/s)</t>
  </si>
  <si>
    <t>Torsional</t>
  </si>
  <si>
    <t>Rod to Axle</t>
  </si>
  <si>
    <t>DamperL to Axle</t>
  </si>
  <si>
    <t>DamperR to Axle</t>
  </si>
  <si>
    <t>Rigid_UJ</t>
  </si>
  <si>
    <t>Rigid_Gimbal</t>
  </si>
  <si>
    <t>Arm to Body</t>
  </si>
  <si>
    <t>Rod to Body</t>
  </si>
  <si>
    <t>DamperL to Body</t>
  </si>
  <si>
    <t>DamperR to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</si>
</sst>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applyAlignment="1">
      <alignment horizontal="left"/>
    </xf>
    <xf numFmtId="164" fontId="2" fillId="0" borderId="0" xfId="0" applyNumberFormat="1" applyFont="1"/>
    <xf numFmtId="0" fontId="0" fillId="3" borderId="0" xfId="0" applyFill="1" applyAlignment="1">
      <alignment horizontal="right"/>
    </xf>
    <xf numFmtId="164" fontId="0" fillId="5" borderId="0" xfId="0" applyNumberFormat="1" applyFill="1"/>
    <xf numFmtId="2" fontId="0" fillId="0" borderId="0" xfId="0" applyNumberFormat="1"/>
    <xf numFmtId="164" fontId="2" fillId="6" borderId="0" xfId="0" applyNumberFormat="1" applyFont="1" applyFill="1"/>
    <xf numFmtId="0" fontId="0" fillId="7" borderId="0" xfId="0" applyFill="1" applyAlignment="1">
      <alignment horizontal="left"/>
    </xf>
    <xf numFmtId="0" fontId="0" fillId="7" borderId="0" xfId="0" applyFill="1"/>
  </cellXfs>
  <cellStyles count="1">
    <cellStyle name="Normal" xfId="0" builtinId="0"/>
  </cellStyles>
  <dxfs count="3">
    <dxf>
      <fill>
        <patternFill>
          <bgColor theme="7" tint="0.79995117038483843"/>
        </patternFill>
      </fill>
    </dxf>
    <dxf>
      <fill>
        <patternFill>
          <bgColor theme="7" tint="0.79995117038483843"/>
        </patternFill>
      </fill>
    </dxf>
    <dxf>
      <fill>
        <patternFill>
          <bgColor theme="7" tint="0.79995117038483843"/>
        </patternFill>
      </fill>
    </dxf>
  </dxfs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C0C4-4E7C-43AE-AF6A-012A1CA21E06}">
  <sheetPr>
    <tabColor theme="7" tint="0.59996337778862885"/>
  </sheetPr>
  <dimension ref="A1:AC59"/>
  <sheetViews>
    <sheetView tabSelected="1" zoomScale="85" zoomScaleNormal="85" workbookViewId="0">
      <pane xSplit="3" ySplit="1" topLeftCell="D38" activePane="bottomRight" state="frozen"/>
      <selection activeCell="E9" sqref="E9"/>
      <selection pane="topRight" activeCell="E9" sqref="E9"/>
      <selection pane="bottomLeft" activeCell="E9" sqref="E9"/>
      <selection pane="bottomRight" activeCell="I61" sqref="I61"/>
    </sheetView>
  </sheetViews>
  <sheetFormatPr defaultRowHeight="15" x14ac:dyDescent="0.25"/>
  <cols>
    <col min="1" max="1" width="14.42578125" style="17" customWidth="1"/>
    <col min="2" max="2" width="19" customWidth="1"/>
    <col min="3" max="3" width="15.7109375" customWidth="1"/>
    <col min="4" max="4" width="11.140625" customWidth="1"/>
    <col min="5" max="5" width="35" customWidth="1"/>
    <col min="6" max="8" width="10" customWidth="1"/>
    <col min="9" max="12" width="13.7109375" customWidth="1"/>
    <col min="13" max="14" width="11.7109375" customWidth="1"/>
    <col min="15" max="15" width="12.7109375" customWidth="1"/>
    <col min="16" max="18" width="13.7109375" customWidth="1"/>
    <col min="19" max="20" width="12.42578125" customWidth="1"/>
    <col min="21" max="28" width="13.7109375" customWidth="1"/>
    <col min="29" max="29" width="12.42578125" customWidth="1"/>
  </cols>
  <sheetData>
    <row r="1" spans="1:13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3" x14ac:dyDescent="0.25">
      <c r="A2" s="4" t="s">
        <v>5</v>
      </c>
      <c r="B2" s="5"/>
      <c r="C2" s="5"/>
      <c r="D2" s="5"/>
      <c r="E2" s="5"/>
      <c r="F2" s="6"/>
      <c r="G2" s="6"/>
      <c r="H2" s="7" t="s">
        <v>16</v>
      </c>
    </row>
    <row r="3" spans="1:13" x14ac:dyDescent="0.25">
      <c r="A3" s="8" t="s">
        <v>6</v>
      </c>
      <c r="B3" s="9"/>
      <c r="C3" s="9"/>
      <c r="F3" s="10"/>
      <c r="G3" s="10"/>
      <c r="H3" s="11" t="s">
        <v>65</v>
      </c>
    </row>
    <row r="4" spans="1:13" x14ac:dyDescent="0.25">
      <c r="A4" s="4" t="s">
        <v>7</v>
      </c>
      <c r="B4" s="5"/>
      <c r="C4" s="5"/>
      <c r="D4" s="5"/>
      <c r="E4" s="5"/>
      <c r="F4" s="6"/>
      <c r="G4" s="6"/>
      <c r="H4" s="7" t="s">
        <v>64</v>
      </c>
      <c r="J4" s="18"/>
    </row>
    <row r="5" spans="1:13" x14ac:dyDescent="0.25">
      <c r="A5" s="8" t="s">
        <v>28</v>
      </c>
      <c r="B5" s="4" t="s">
        <v>7</v>
      </c>
      <c r="C5" s="5"/>
      <c r="D5" s="5"/>
      <c r="E5" s="5"/>
      <c r="F5" s="6"/>
      <c r="G5" s="6"/>
      <c r="H5" s="7" t="s">
        <v>64</v>
      </c>
      <c r="J5" s="18"/>
    </row>
    <row r="6" spans="1:13" x14ac:dyDescent="0.25">
      <c r="A6" s="8"/>
      <c r="B6" s="9" t="s">
        <v>27</v>
      </c>
      <c r="C6" s="9" t="s">
        <v>15</v>
      </c>
      <c r="D6" t="s">
        <v>8</v>
      </c>
      <c r="E6" t="s">
        <v>20</v>
      </c>
      <c r="F6" s="18">
        <v>0.83199999999999996</v>
      </c>
      <c r="G6" s="18">
        <v>0.44</v>
      </c>
      <c r="H6" s="18">
        <v>0.45500000000000002</v>
      </c>
      <c r="K6" s="10"/>
      <c r="L6" s="10"/>
      <c r="M6" s="10"/>
    </row>
    <row r="7" spans="1:13" x14ac:dyDescent="0.25">
      <c r="A7" s="8"/>
      <c r="B7" s="9"/>
      <c r="C7" s="9" t="s">
        <v>40</v>
      </c>
      <c r="D7" t="s">
        <v>8</v>
      </c>
      <c r="E7" t="s">
        <v>41</v>
      </c>
      <c r="F7" s="18">
        <v>0</v>
      </c>
      <c r="G7" s="18">
        <v>0.44</v>
      </c>
      <c r="H7" s="18">
        <v>0.40300000000000002</v>
      </c>
      <c r="K7" s="10"/>
      <c r="L7" s="10"/>
      <c r="M7" s="10"/>
    </row>
    <row r="8" spans="1:13" x14ac:dyDescent="0.25">
      <c r="A8" s="8"/>
      <c r="B8" s="9"/>
      <c r="C8" s="9" t="s">
        <v>39</v>
      </c>
      <c r="D8" t="s">
        <v>8</v>
      </c>
      <c r="E8" t="s">
        <v>42</v>
      </c>
      <c r="F8" s="18">
        <v>0</v>
      </c>
      <c r="G8" s="18">
        <v>-0.435</v>
      </c>
      <c r="H8" s="18">
        <v>0.40300000000000002</v>
      </c>
      <c r="K8" s="10"/>
      <c r="L8" s="10"/>
      <c r="M8" s="10"/>
    </row>
    <row r="9" spans="1:13" x14ac:dyDescent="0.25">
      <c r="A9" s="8"/>
      <c r="B9" s="9"/>
      <c r="C9" s="9" t="s">
        <v>8</v>
      </c>
      <c r="D9" t="s">
        <v>9</v>
      </c>
      <c r="F9" s="10"/>
      <c r="G9" s="10"/>
      <c r="H9" s="10">
        <v>10</v>
      </c>
    </row>
    <row r="10" spans="1:13" x14ac:dyDescent="0.25">
      <c r="A10" s="8"/>
      <c r="B10" s="9" t="s">
        <v>19</v>
      </c>
      <c r="C10" s="9" t="s">
        <v>15</v>
      </c>
      <c r="D10" t="s">
        <v>8</v>
      </c>
      <c r="E10" t="s">
        <v>21</v>
      </c>
      <c r="F10" s="18">
        <v>-0.20699999999999999</v>
      </c>
      <c r="G10" s="18">
        <v>-0.434</v>
      </c>
      <c r="H10" s="18">
        <v>0.46800000000000003</v>
      </c>
      <c r="K10" s="10"/>
      <c r="L10" s="10"/>
      <c r="M10" s="10"/>
    </row>
    <row r="11" spans="1:13" x14ac:dyDescent="0.25">
      <c r="A11" s="8"/>
      <c r="B11" s="9"/>
      <c r="C11" s="9" t="s">
        <v>18</v>
      </c>
      <c r="D11" t="s">
        <v>8</v>
      </c>
      <c r="E11" t="s">
        <v>22</v>
      </c>
      <c r="F11" s="18">
        <v>-0.121</v>
      </c>
      <c r="G11" s="18">
        <v>0.38</v>
      </c>
      <c r="H11" s="18">
        <v>0.41699999999999998</v>
      </c>
      <c r="K11" s="10"/>
      <c r="L11" s="10"/>
      <c r="M11" s="10"/>
    </row>
    <row r="12" spans="1:13" x14ac:dyDescent="0.25">
      <c r="A12" s="8"/>
      <c r="B12" s="9"/>
      <c r="C12" s="9" t="s">
        <v>8</v>
      </c>
      <c r="D12" t="s">
        <v>9</v>
      </c>
      <c r="F12" s="10"/>
      <c r="G12" s="10"/>
      <c r="H12" s="10">
        <v>4</v>
      </c>
    </row>
    <row r="13" spans="1:13" x14ac:dyDescent="0.25">
      <c r="A13" s="8"/>
      <c r="B13" s="8" t="s">
        <v>17</v>
      </c>
      <c r="C13" s="9" t="s">
        <v>26</v>
      </c>
      <c r="D13" t="s">
        <v>8</v>
      </c>
      <c r="F13" s="10">
        <v>0</v>
      </c>
      <c r="G13" s="10">
        <v>0</v>
      </c>
      <c r="H13" s="10">
        <v>0.38800000000000001</v>
      </c>
      <c r="J13" s="18"/>
    </row>
    <row r="14" spans="1:13" x14ac:dyDescent="0.25">
      <c r="A14" s="8"/>
      <c r="B14" s="8"/>
      <c r="C14" s="9" t="s">
        <v>43</v>
      </c>
      <c r="D14" t="s">
        <v>8</v>
      </c>
      <c r="F14" s="18">
        <v>0</v>
      </c>
      <c r="G14" s="18">
        <v>0.75900000000000001</v>
      </c>
      <c r="H14" s="18">
        <v>0.36214000000000002</v>
      </c>
      <c r="J14" s="18"/>
    </row>
    <row r="15" spans="1:13" x14ac:dyDescent="0.25">
      <c r="A15" s="8"/>
      <c r="B15" s="8"/>
      <c r="C15" s="9" t="s">
        <v>44</v>
      </c>
      <c r="D15" t="s">
        <v>8</v>
      </c>
      <c r="F15" s="18">
        <v>0</v>
      </c>
      <c r="G15" s="18">
        <v>-0.754</v>
      </c>
      <c r="H15" s="18">
        <v>0.36214000000000002</v>
      </c>
      <c r="J15" s="18"/>
    </row>
    <row r="16" spans="1:13" x14ac:dyDescent="0.25">
      <c r="A16" s="8"/>
      <c r="B16" s="9"/>
      <c r="C16" s="9" t="s">
        <v>59</v>
      </c>
      <c r="D16" t="s">
        <v>8</v>
      </c>
      <c r="E16" t="s">
        <v>60</v>
      </c>
      <c r="F16" s="10"/>
      <c r="G16" s="10"/>
      <c r="H16" s="10">
        <v>0.05</v>
      </c>
    </row>
    <row r="17" spans="1:29" x14ac:dyDescent="0.25">
      <c r="A17" s="8"/>
      <c r="B17" s="9"/>
      <c r="C17" s="9" t="s">
        <v>66</v>
      </c>
      <c r="D17" t="s">
        <v>8</v>
      </c>
      <c r="F17" s="18">
        <v>0</v>
      </c>
      <c r="G17" s="18">
        <f>0.759-0.1</f>
        <v>0.65900000000000003</v>
      </c>
      <c r="H17" s="18">
        <v>0.36214000000000002</v>
      </c>
    </row>
    <row r="18" spans="1:29" x14ac:dyDescent="0.25">
      <c r="A18" s="8"/>
      <c r="B18" s="9"/>
      <c r="C18" s="9" t="s">
        <v>67</v>
      </c>
      <c r="F18" s="18">
        <v>0</v>
      </c>
      <c r="G18" s="18">
        <f>-0.754+0.1</f>
        <v>-0.65400000000000003</v>
      </c>
      <c r="H18" s="18">
        <v>0.36214000000000002</v>
      </c>
    </row>
    <row r="19" spans="1:29" x14ac:dyDescent="0.25">
      <c r="A19" s="8"/>
      <c r="B19" s="8"/>
      <c r="C19" s="9" t="s">
        <v>8</v>
      </c>
      <c r="D19" t="s">
        <v>9</v>
      </c>
      <c r="E19" t="s">
        <v>25</v>
      </c>
      <c r="F19" s="12"/>
      <c r="G19" s="10"/>
      <c r="H19" s="10">
        <v>143</v>
      </c>
      <c r="J19" s="18"/>
      <c r="K19" s="10"/>
      <c r="L19" s="10"/>
      <c r="M19" s="10"/>
    </row>
    <row r="20" spans="1:29" x14ac:dyDescent="0.25">
      <c r="A20" s="8"/>
      <c r="B20" s="8" t="s">
        <v>68</v>
      </c>
      <c r="C20" s="4" t="s">
        <v>7</v>
      </c>
      <c r="D20" s="5"/>
      <c r="E20" s="5"/>
      <c r="F20" s="4"/>
      <c r="G20" s="5"/>
      <c r="H20" s="19" t="s">
        <v>89</v>
      </c>
    </row>
    <row r="21" spans="1:29" x14ac:dyDescent="0.25">
      <c r="A21" s="8"/>
      <c r="B21" s="9"/>
      <c r="C21" s="8" t="s">
        <v>86</v>
      </c>
      <c r="D21" t="s">
        <v>87</v>
      </c>
      <c r="F21" s="10"/>
      <c r="G21" s="10"/>
      <c r="H21" s="10">
        <v>30.96</v>
      </c>
    </row>
    <row r="22" spans="1:29" x14ac:dyDescent="0.25">
      <c r="A22" s="8"/>
      <c r="B22" s="9"/>
      <c r="C22" s="8" t="s">
        <v>32</v>
      </c>
      <c r="D22" t="s">
        <v>88</v>
      </c>
      <c r="F22" s="10"/>
      <c r="G22" s="10"/>
      <c r="H22">
        <v>3</v>
      </c>
    </row>
    <row r="23" spans="1:29" x14ac:dyDescent="0.25">
      <c r="A23" s="8"/>
      <c r="B23" s="8"/>
      <c r="C23" s="9" t="s">
        <v>69</v>
      </c>
      <c r="D23" t="s">
        <v>8</v>
      </c>
      <c r="E23" t="s">
        <v>70</v>
      </c>
      <c r="F23" s="10"/>
      <c r="G23" s="10"/>
      <c r="H23" s="10">
        <v>-2.7383320996790805E-2</v>
      </c>
      <c r="I23">
        <v>4.8826914536239788E-2</v>
      </c>
      <c r="J23">
        <v>5.3520567980899547E-2</v>
      </c>
      <c r="K23">
        <v>5.628172775686488E-2</v>
      </c>
      <c r="L23">
        <v>5.6690032318220757E-2</v>
      </c>
      <c r="M23">
        <v>5.4683320996790803E-2</v>
      </c>
      <c r="N23">
        <v>3.5383320996790806E-2</v>
      </c>
      <c r="O23">
        <v>3.1267097400379314E-2</v>
      </c>
      <c r="P23">
        <v>2.5668019257880127E-2</v>
      </c>
      <c r="Q23">
        <v>1.943849546071896E-2</v>
      </c>
      <c r="R23">
        <v>1.3526914536239793E-2</v>
      </c>
      <c r="S23">
        <v>-6.2683320996790803E-2</v>
      </c>
      <c r="T23">
        <v>-6.0683320996790802E-2</v>
      </c>
      <c r="U23">
        <v>1.5526914536239791E-2</v>
      </c>
      <c r="V23">
        <v>2.1526914536239804E-2</v>
      </c>
      <c r="W23">
        <v>2.7526914536239792E-2</v>
      </c>
      <c r="X23">
        <v>3.1919219381653055E-2</v>
      </c>
      <c r="Y23">
        <v>5.1219219381653053E-2</v>
      </c>
      <c r="Z23">
        <v>5.2826914536239791E-2</v>
      </c>
      <c r="AA23">
        <v>5.1219219381653053E-2</v>
      </c>
      <c r="AB23">
        <v>4.6826914536239786E-2</v>
      </c>
      <c r="AC23">
        <v>-2.9383320996790807E-2</v>
      </c>
    </row>
    <row r="24" spans="1:29" x14ac:dyDescent="0.25">
      <c r="A24" s="8"/>
      <c r="B24" s="8"/>
      <c r="C24" s="9" t="s">
        <v>71</v>
      </c>
      <c r="D24" t="s">
        <v>8</v>
      </c>
      <c r="E24" t="s">
        <v>72</v>
      </c>
      <c r="F24" s="10"/>
      <c r="G24" s="10"/>
      <c r="H24" s="10">
        <v>-5.657069675359068E-2</v>
      </c>
      <c r="I24" s="10">
        <v>-1.2570696753590682E-2</v>
      </c>
      <c r="J24">
        <v>-8.4544731571792008E-3</v>
      </c>
      <c r="K24">
        <v>-2.855395014679997E-3</v>
      </c>
      <c r="L24" s="10">
        <v>3.3741287824811637E-3</v>
      </c>
      <c r="M24" s="10">
        <v>9.2857097069603337E-3</v>
      </c>
      <c r="N24" s="10">
        <v>4.2714290293039657E-2</v>
      </c>
      <c r="O24" s="10">
        <v>4.7407943737699423E-2</v>
      </c>
      <c r="P24">
        <v>5.0169103513664756E-2</v>
      </c>
      <c r="Q24">
        <v>5.0577408075020633E-2</v>
      </c>
      <c r="R24" s="10">
        <v>4.8570696753590686E-2</v>
      </c>
      <c r="S24" s="10">
        <v>4.570696753590682E-3</v>
      </c>
      <c r="T24">
        <v>1.1065951384529246E-3</v>
      </c>
      <c r="U24">
        <v>4.5106595138452922E-2</v>
      </c>
      <c r="V24">
        <v>4.6714290293039668E-2</v>
      </c>
      <c r="W24">
        <v>4.5106595138452929E-2</v>
      </c>
      <c r="X24">
        <v>4.0714290293039662E-2</v>
      </c>
      <c r="Y24">
        <v>7.2857097069603353E-3</v>
      </c>
      <c r="Z24">
        <v>1.2857097069603335E-3</v>
      </c>
      <c r="AA24">
        <v>-4.7142902930396614E-3</v>
      </c>
      <c r="AB24">
        <v>-9.1065951384529248E-3</v>
      </c>
      <c r="AC24">
        <v>-5.3106595138452922E-2</v>
      </c>
    </row>
    <row r="25" spans="1:29" x14ac:dyDescent="0.25">
      <c r="A25" s="8"/>
      <c r="B25" s="8"/>
      <c r="C25" s="9" t="s">
        <v>73</v>
      </c>
      <c r="D25" t="s">
        <v>74</v>
      </c>
      <c r="F25" s="10"/>
      <c r="G25" s="10"/>
      <c r="H25" s="10">
        <v>2700</v>
      </c>
    </row>
    <row r="26" spans="1:29" x14ac:dyDescent="0.25">
      <c r="A26" s="8"/>
      <c r="B26" s="8"/>
      <c r="C26" s="9" t="s">
        <v>75</v>
      </c>
      <c r="D26" t="s">
        <v>76</v>
      </c>
      <c r="E26" t="s">
        <v>77</v>
      </c>
      <c r="F26" s="10"/>
      <c r="G26" s="10"/>
      <c r="H26" s="10">
        <v>70</v>
      </c>
    </row>
    <row r="27" spans="1:29" x14ac:dyDescent="0.25">
      <c r="A27" s="8"/>
      <c r="B27" s="8"/>
      <c r="C27" s="9" t="s">
        <v>78</v>
      </c>
      <c r="D27" t="s">
        <v>79</v>
      </c>
      <c r="E27" t="s">
        <v>80</v>
      </c>
      <c r="F27" s="10"/>
      <c r="G27" s="10"/>
      <c r="H27">
        <v>0.33</v>
      </c>
    </row>
    <row r="28" spans="1:29" x14ac:dyDescent="0.25">
      <c r="A28" s="8"/>
      <c r="B28" s="8"/>
      <c r="C28" s="9" t="s">
        <v>81</v>
      </c>
      <c r="D28" t="s">
        <v>82</v>
      </c>
      <c r="E28" t="s">
        <v>83</v>
      </c>
      <c r="F28" s="10"/>
      <c r="G28" s="10"/>
      <c r="H28" s="18">
        <v>1E-3</v>
      </c>
    </row>
    <row r="29" spans="1:29" x14ac:dyDescent="0.25">
      <c r="A29" s="8"/>
      <c r="B29" s="8"/>
      <c r="C29" s="9" t="s">
        <v>84</v>
      </c>
      <c r="E29" t="s">
        <v>85</v>
      </c>
      <c r="F29" s="10"/>
      <c r="G29" s="10"/>
      <c r="H29" s="18">
        <v>1</v>
      </c>
    </row>
    <row r="30" spans="1:29" x14ac:dyDescent="0.25">
      <c r="A30" s="8"/>
      <c r="B30" s="8" t="s">
        <v>61</v>
      </c>
      <c r="C30" s="9" t="s">
        <v>62</v>
      </c>
      <c r="D30" t="s">
        <v>8</v>
      </c>
      <c r="E30" t="s">
        <v>63</v>
      </c>
      <c r="F30" s="10"/>
      <c r="G30" s="10"/>
      <c r="H30" s="10">
        <v>0.15</v>
      </c>
    </row>
    <row r="31" spans="1:29" x14ac:dyDescent="0.25">
      <c r="A31" s="8"/>
      <c r="B31" s="8"/>
      <c r="C31" s="9" t="s">
        <v>8</v>
      </c>
      <c r="D31" t="s">
        <v>9</v>
      </c>
      <c r="F31" s="12"/>
      <c r="G31" s="10"/>
      <c r="H31" s="10">
        <v>1</v>
      </c>
    </row>
    <row r="32" spans="1:29" x14ac:dyDescent="0.25">
      <c r="A32" s="8"/>
      <c r="B32" s="8" t="s">
        <v>29</v>
      </c>
      <c r="C32" s="4" t="s">
        <v>7</v>
      </c>
      <c r="D32" s="5"/>
      <c r="E32" s="5"/>
      <c r="F32" s="4"/>
      <c r="G32" s="5"/>
      <c r="H32" s="19" t="s">
        <v>37</v>
      </c>
    </row>
    <row r="33" spans="1:19" x14ac:dyDescent="0.25">
      <c r="A33" s="8"/>
      <c r="B33" s="8"/>
      <c r="C33" s="9" t="s">
        <v>18</v>
      </c>
      <c r="D33" t="s">
        <v>8</v>
      </c>
      <c r="F33" s="18">
        <v>0</v>
      </c>
      <c r="G33" s="18">
        <v>0</v>
      </c>
      <c r="H33" s="18">
        <v>0.47899999999999998</v>
      </c>
    </row>
    <row r="34" spans="1:19" x14ac:dyDescent="0.25">
      <c r="A34" s="8"/>
      <c r="B34" s="8"/>
      <c r="C34" s="9" t="s">
        <v>15</v>
      </c>
      <c r="D34" t="s">
        <v>8</v>
      </c>
      <c r="F34" s="18">
        <v>0</v>
      </c>
      <c r="G34" s="18">
        <v>0.35499999999999998</v>
      </c>
      <c r="H34" s="18">
        <v>0.61799999999999999</v>
      </c>
    </row>
    <row r="35" spans="1:19" x14ac:dyDescent="0.25">
      <c r="A35" s="8"/>
      <c r="B35" s="8"/>
      <c r="C35" s="9" t="s">
        <v>30</v>
      </c>
      <c r="D35" t="s">
        <v>8</v>
      </c>
      <c r="F35" s="10"/>
      <c r="G35" s="10"/>
      <c r="H35" s="10">
        <v>0.04</v>
      </c>
    </row>
    <row r="36" spans="1:19" x14ac:dyDescent="0.25">
      <c r="A36" s="8"/>
      <c r="B36" s="8"/>
      <c r="C36" s="9" t="s">
        <v>36</v>
      </c>
      <c r="D36" t="s">
        <v>8</v>
      </c>
      <c r="E36" t="s">
        <v>38</v>
      </c>
      <c r="F36" s="10"/>
      <c r="G36" s="10"/>
      <c r="H36" s="10">
        <v>0</v>
      </c>
      <c r="I36" s="10">
        <v>0</v>
      </c>
      <c r="J36" s="10">
        <v>-0.04</v>
      </c>
    </row>
    <row r="37" spans="1:19" x14ac:dyDescent="0.25">
      <c r="A37" s="8"/>
      <c r="B37" s="8"/>
      <c r="C37" s="9" t="s">
        <v>35</v>
      </c>
      <c r="D37" t="s">
        <v>31</v>
      </c>
      <c r="F37" s="10"/>
      <c r="G37" s="10"/>
      <c r="H37" s="10">
        <v>100000</v>
      </c>
    </row>
    <row r="38" spans="1:19" x14ac:dyDescent="0.25">
      <c r="A38" s="8"/>
      <c r="B38" s="8"/>
      <c r="C38" s="9" t="s">
        <v>32</v>
      </c>
      <c r="D38" t="s">
        <v>33</v>
      </c>
      <c r="F38" s="10"/>
      <c r="G38" s="10"/>
      <c r="H38" s="10">
        <v>150</v>
      </c>
    </row>
    <row r="39" spans="1:19" x14ac:dyDescent="0.25">
      <c r="A39" s="8"/>
      <c r="B39" s="8"/>
      <c r="C39" s="9" t="s">
        <v>34</v>
      </c>
      <c r="D39" t="s">
        <v>8</v>
      </c>
      <c r="F39" s="10"/>
      <c r="G39" s="10"/>
      <c r="H39" s="10">
        <v>1E-4</v>
      </c>
    </row>
    <row r="40" spans="1:19" x14ac:dyDescent="0.25">
      <c r="A40" s="8"/>
      <c r="B40" s="13" t="s">
        <v>50</v>
      </c>
      <c r="C40" s="14" t="s">
        <v>47</v>
      </c>
      <c r="D40" t="s">
        <v>8</v>
      </c>
      <c r="E40" t="s">
        <v>55</v>
      </c>
      <c r="F40" s="20">
        <v>1E-3</v>
      </c>
      <c r="G40" s="20">
        <v>0.47799999999999998</v>
      </c>
      <c r="H40" s="20">
        <v>0.83299999999999996</v>
      </c>
      <c r="J40" s="14" t="s">
        <v>23</v>
      </c>
      <c r="K40" s="14"/>
      <c r="L40" s="14"/>
      <c r="M40" s="14"/>
      <c r="N40" s="14"/>
      <c r="O40" s="14"/>
      <c r="Q40" s="21"/>
      <c r="R40" s="21"/>
      <c r="S40" s="21"/>
    </row>
    <row r="41" spans="1:19" x14ac:dyDescent="0.25">
      <c r="A41" s="8"/>
      <c r="B41" s="13"/>
      <c r="C41" s="14" t="s">
        <v>48</v>
      </c>
      <c r="D41" t="s">
        <v>8</v>
      </c>
      <c r="E41" t="s">
        <v>56</v>
      </c>
      <c r="F41" s="20">
        <v>1E-3</v>
      </c>
      <c r="G41" s="20">
        <v>-0.47799999999999998</v>
      </c>
      <c r="H41" s="20">
        <v>0.83299999999999996</v>
      </c>
      <c r="J41" s="14" t="s">
        <v>23</v>
      </c>
      <c r="K41" s="14"/>
      <c r="L41" s="14"/>
      <c r="M41" s="14"/>
      <c r="N41" s="14"/>
      <c r="O41" s="14"/>
      <c r="Q41" s="21"/>
      <c r="R41" s="21"/>
      <c r="S41" s="21"/>
    </row>
    <row r="42" spans="1:19" x14ac:dyDescent="0.25">
      <c r="A42" s="8"/>
      <c r="B42" s="13"/>
      <c r="C42" s="14" t="s">
        <v>45</v>
      </c>
      <c r="D42" t="s">
        <v>8</v>
      </c>
      <c r="E42" t="s">
        <v>57</v>
      </c>
      <c r="F42" s="20">
        <v>3.0000000000000001E-3</v>
      </c>
      <c r="G42" s="20">
        <v>0.49299999999999999</v>
      </c>
      <c r="H42" s="20">
        <v>0.52300000000000002</v>
      </c>
      <c r="J42" s="14" t="s">
        <v>23</v>
      </c>
      <c r="K42" s="14"/>
      <c r="L42" s="14"/>
      <c r="M42" s="14"/>
      <c r="N42" s="14"/>
      <c r="O42" s="14"/>
      <c r="Q42" s="21"/>
      <c r="R42" s="21"/>
      <c r="S42" s="21"/>
    </row>
    <row r="43" spans="1:19" x14ac:dyDescent="0.25">
      <c r="A43" s="8"/>
      <c r="B43" s="13"/>
      <c r="C43" s="14" t="s">
        <v>46</v>
      </c>
      <c r="D43" t="s">
        <v>8</v>
      </c>
      <c r="E43" t="s">
        <v>58</v>
      </c>
      <c r="F43" s="20">
        <v>3.0000000000000001E-3</v>
      </c>
      <c r="G43" s="20">
        <v>-0.49299999999999999</v>
      </c>
      <c r="H43" s="20">
        <v>0.52300000000000002</v>
      </c>
      <c r="J43" s="14" t="s">
        <v>23</v>
      </c>
      <c r="K43" s="14"/>
      <c r="L43" s="14"/>
      <c r="M43" s="14"/>
      <c r="N43" s="14"/>
      <c r="O43" s="14"/>
      <c r="Q43" s="21"/>
      <c r="R43" s="21"/>
      <c r="S43" s="21"/>
    </row>
    <row r="44" spans="1:19" x14ac:dyDescent="0.25">
      <c r="A44" s="8"/>
      <c r="B44" s="8"/>
      <c r="C44" s="9" t="s">
        <v>10</v>
      </c>
      <c r="D44" t="s">
        <v>9</v>
      </c>
      <c r="F44" s="10"/>
      <c r="G44" s="10"/>
      <c r="H44" s="10">
        <v>3.6529410000000002</v>
      </c>
    </row>
    <row r="45" spans="1:19" x14ac:dyDescent="0.25">
      <c r="A45" s="8"/>
      <c r="B45" s="8"/>
      <c r="C45" s="9" t="s">
        <v>11</v>
      </c>
      <c r="D45" t="s">
        <v>9</v>
      </c>
      <c r="F45" s="10"/>
      <c r="G45" s="10"/>
      <c r="H45" s="10">
        <v>4.3157700000000006</v>
      </c>
    </row>
    <row r="46" spans="1:19" x14ac:dyDescent="0.25">
      <c r="A46" s="8"/>
      <c r="B46" s="13" t="s">
        <v>49</v>
      </c>
      <c r="C46" s="14" t="s">
        <v>47</v>
      </c>
      <c r="D46" t="s">
        <v>8</v>
      </c>
      <c r="E46" t="s">
        <v>51</v>
      </c>
      <c r="F46" s="20">
        <v>-0.02</v>
      </c>
      <c r="G46" s="20">
        <v>0.38800000000000001</v>
      </c>
      <c r="H46" s="20">
        <v>0.68300000000000005</v>
      </c>
      <c r="J46" s="14" t="s">
        <v>23</v>
      </c>
      <c r="K46" s="14"/>
      <c r="L46" s="14"/>
      <c r="M46" s="14"/>
      <c r="N46" s="14"/>
      <c r="O46" s="14"/>
      <c r="Q46" s="21"/>
      <c r="R46" s="21"/>
      <c r="S46" s="21"/>
    </row>
    <row r="47" spans="1:19" x14ac:dyDescent="0.25">
      <c r="A47" s="8"/>
      <c r="B47" s="13"/>
      <c r="C47" s="14" t="s">
        <v>48</v>
      </c>
      <c r="D47" t="s">
        <v>8</v>
      </c>
      <c r="E47" t="s">
        <v>52</v>
      </c>
      <c r="F47" s="20">
        <v>-0.02</v>
      </c>
      <c r="G47" s="20">
        <v>-0.38800000000000001</v>
      </c>
      <c r="H47" s="20">
        <v>0.68300000000000005</v>
      </c>
      <c r="J47" s="14" t="s">
        <v>23</v>
      </c>
      <c r="K47" s="14"/>
      <c r="L47" s="14"/>
      <c r="M47" s="14"/>
      <c r="N47" s="14"/>
      <c r="O47" s="14"/>
      <c r="Q47" s="21"/>
      <c r="R47" s="21"/>
      <c r="S47" s="21"/>
    </row>
    <row r="48" spans="1:19" x14ac:dyDescent="0.25">
      <c r="A48" s="8"/>
      <c r="B48" s="13"/>
      <c r="C48" s="14" t="s">
        <v>45</v>
      </c>
      <c r="D48" t="s">
        <v>8</v>
      </c>
      <c r="E48" t="s">
        <v>53</v>
      </c>
      <c r="F48" s="20">
        <v>3.0000000000000001E-3</v>
      </c>
      <c r="G48" s="20">
        <v>0.38300000000000001</v>
      </c>
      <c r="H48" s="20">
        <v>0.52300000000000002</v>
      </c>
      <c r="J48" s="14" t="s">
        <v>23</v>
      </c>
      <c r="K48" s="14"/>
      <c r="L48" s="14"/>
      <c r="M48" s="14"/>
      <c r="N48" s="14"/>
      <c r="O48" s="14"/>
      <c r="Q48" s="21"/>
      <c r="R48" s="21"/>
      <c r="S48" s="21"/>
    </row>
    <row r="49" spans="1:19" x14ac:dyDescent="0.25">
      <c r="A49" s="8"/>
      <c r="B49" s="13"/>
      <c r="C49" s="14" t="s">
        <v>46</v>
      </c>
      <c r="D49" t="s">
        <v>8</v>
      </c>
      <c r="E49" t="s">
        <v>54</v>
      </c>
      <c r="F49" s="20">
        <v>3.0000000000000001E-3</v>
      </c>
      <c r="G49" s="20">
        <v>-0.38300000000000001</v>
      </c>
      <c r="H49" s="20">
        <v>0.52300000000000002</v>
      </c>
      <c r="J49" s="14" t="s">
        <v>23</v>
      </c>
      <c r="K49" s="14"/>
      <c r="L49" s="14"/>
      <c r="M49" s="14"/>
      <c r="N49" s="14"/>
      <c r="O49" s="14"/>
      <c r="Q49" s="21"/>
      <c r="R49" s="21"/>
      <c r="S49" s="21"/>
    </row>
    <row r="50" spans="1:19" x14ac:dyDescent="0.25">
      <c r="A50" s="8"/>
      <c r="B50" s="9"/>
      <c r="C50" s="9" t="s">
        <v>8</v>
      </c>
      <c r="D50" t="s">
        <v>9</v>
      </c>
      <c r="F50" s="10"/>
      <c r="G50" s="10"/>
      <c r="H50" s="10">
        <v>0.5</v>
      </c>
    </row>
    <row r="51" spans="1:19" x14ac:dyDescent="0.25">
      <c r="A51" s="8"/>
      <c r="B51" s="15" t="s">
        <v>12</v>
      </c>
      <c r="C51" s="16" t="s">
        <v>13</v>
      </c>
      <c r="D51" t="s">
        <v>8</v>
      </c>
      <c r="F51" s="12"/>
      <c r="G51" s="12"/>
      <c r="H51" s="22">
        <v>0.06</v>
      </c>
      <c r="J51" s="5" t="s">
        <v>24</v>
      </c>
      <c r="K51" s="5"/>
      <c r="L51" s="5"/>
      <c r="M51" s="5"/>
      <c r="N51" s="5"/>
    </row>
    <row r="52" spans="1:19" x14ac:dyDescent="0.25">
      <c r="A52" s="8"/>
      <c r="B52" s="15"/>
      <c r="C52" s="16" t="s">
        <v>14</v>
      </c>
      <c r="D52" t="s">
        <v>8</v>
      </c>
      <c r="F52" s="12"/>
      <c r="G52" s="12"/>
      <c r="H52" s="22">
        <v>-0.08</v>
      </c>
      <c r="J52" s="5" t="s">
        <v>24</v>
      </c>
      <c r="K52" s="5"/>
      <c r="L52" s="5"/>
      <c r="M52" s="5"/>
      <c r="N52" s="5"/>
    </row>
    <row r="53" spans="1:19" x14ac:dyDescent="0.25">
      <c r="A53" s="8"/>
      <c r="B53" s="8" t="s">
        <v>95</v>
      </c>
      <c r="C53" s="4" t="s">
        <v>7</v>
      </c>
      <c r="D53" s="5"/>
      <c r="E53" s="5"/>
      <c r="F53" s="4"/>
      <c r="G53" s="5"/>
      <c r="H53" s="19" t="s">
        <v>94</v>
      </c>
    </row>
    <row r="54" spans="1:19" x14ac:dyDescent="0.25">
      <c r="A54" s="23"/>
      <c r="B54" s="24" t="s">
        <v>96</v>
      </c>
      <c r="C54" s="4" t="s">
        <v>7</v>
      </c>
      <c r="D54" s="5"/>
      <c r="E54" s="5"/>
      <c r="F54" s="4"/>
      <c r="G54" s="5"/>
      <c r="H54" s="19" t="s">
        <v>93</v>
      </c>
    </row>
    <row r="55" spans="1:19" x14ac:dyDescent="0.25">
      <c r="A55" s="23"/>
      <c r="B55" s="24" t="s">
        <v>90</v>
      </c>
      <c r="C55" s="4" t="s">
        <v>7</v>
      </c>
      <c r="D55" s="5"/>
      <c r="E55" s="5"/>
      <c r="F55" s="4"/>
      <c r="G55" s="5"/>
      <c r="H55" s="19" t="s">
        <v>94</v>
      </c>
    </row>
    <row r="56" spans="1:19" x14ac:dyDescent="0.25">
      <c r="A56" s="23"/>
      <c r="B56" s="24" t="s">
        <v>97</v>
      </c>
      <c r="C56" s="4" t="s">
        <v>7</v>
      </c>
      <c r="D56" s="5"/>
      <c r="E56" s="5"/>
      <c r="F56" s="4"/>
      <c r="G56" s="5"/>
      <c r="H56" s="19" t="s">
        <v>93</v>
      </c>
    </row>
    <row r="57" spans="1:19" x14ac:dyDescent="0.25">
      <c r="A57" s="23"/>
      <c r="B57" s="24" t="s">
        <v>98</v>
      </c>
      <c r="C57" s="4" t="s">
        <v>7</v>
      </c>
      <c r="D57" s="5"/>
      <c r="E57" s="5"/>
      <c r="F57" s="4"/>
      <c r="G57" s="5"/>
      <c r="H57" s="19" t="s">
        <v>93</v>
      </c>
    </row>
    <row r="58" spans="1:19" x14ac:dyDescent="0.25">
      <c r="A58" s="23"/>
      <c r="B58" s="24" t="s">
        <v>91</v>
      </c>
      <c r="C58" s="4" t="s">
        <v>7</v>
      </c>
      <c r="D58" s="5"/>
      <c r="E58" s="5"/>
      <c r="F58" s="4"/>
      <c r="G58" s="5"/>
      <c r="H58" s="19" t="s">
        <v>94</v>
      </c>
    </row>
    <row r="59" spans="1:19" x14ac:dyDescent="0.25">
      <c r="A59" s="23"/>
      <c r="B59" s="24" t="s">
        <v>92</v>
      </c>
      <c r="C59" s="4" t="s">
        <v>7</v>
      </c>
      <c r="D59" s="5"/>
      <c r="E59" s="5"/>
      <c r="F59" s="4"/>
      <c r="G59" s="5"/>
      <c r="H59" s="19" t="s">
        <v>94</v>
      </c>
    </row>
  </sheetData>
  <conditionalFormatting sqref="B38 B40:C50 E40:E52">
    <cfRule type="cellIs" dxfId="2" priority="1" operator="equal">
      <formula>"class"</formula>
    </cfRule>
  </conditionalFormatting>
  <conditionalFormatting sqref="C51:C52 B51:B53">
    <cfRule type="cellIs" dxfId="1" priority="2" operator="equal">
      <formula>"class"</formula>
    </cfRule>
  </conditionalFormatting>
  <conditionalFormatting sqref="J51:J52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Sedan_HambaLG_r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2019-11-05T07:30:43Z</dcterms:created>
  <dcterms:modified xsi:type="dcterms:W3CDTF">2026-03-03T17:39:55Z</dcterms:modified>
</cp:coreProperties>
</file>