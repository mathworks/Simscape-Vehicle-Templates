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uspension\DOF15\"/>
    </mc:Choice>
  </mc:AlternateContent>
  <xr:revisionPtr revIDLastSave="0" documentId="13_ncr:1_{3289CD00-7522-4AFE-BF5C-82E98E66479A}" xr6:coauthVersionLast="47" xr6:coauthVersionMax="47" xr10:uidLastSave="{00000000-0000-0000-0000-000000000000}"/>
  <bookViews>
    <workbookView xWindow="33060" yWindow="2265" windowWidth="21600" windowHeight="11295" tabRatio="964" activeTab="3" xr2:uid="{CCC96D31-0125-4D00-84F2-6850554951C3}"/>
  </bookViews>
  <sheets>
    <sheet name="Sedan_HambaLG_f" sheetId="1" r:id="rId1"/>
    <sheet name="Sedan_HambaLG_r" sheetId="2" r:id="rId2"/>
    <sheet name="Sedan_Hamba_f" sheetId="5" r:id="rId3"/>
    <sheet name="Sedan_Hamba_r" sheetId="6" r:id="rId4"/>
    <sheet name="SUV_Landy_f" sheetId="22" r:id="rId5"/>
    <sheet name="SUV_Landy_r" sheetId="23" r:id="rId6"/>
    <sheet name="Bus_Makhulu_f" sheetId="7" r:id="rId7"/>
    <sheet name="Bus_Makhulu_r" sheetId="8" r:id="rId8"/>
    <sheet name="Bus_Makhulu_Axle3_A2" sheetId="10" r:id="rId9"/>
    <sheet name="Bus_Makhulu_Axle3_A3" sheetId="9" r:id="rId10"/>
    <sheet name="Truck_Amandla_A1" sheetId="12" r:id="rId11"/>
    <sheet name="Truck_Amandla_A2" sheetId="13" r:id="rId12"/>
    <sheet name="Truck_Amandla_A3" sheetId="14" r:id="rId13"/>
    <sheet name="Truck_Rhuqa_A1" sheetId="17" r:id="rId14"/>
    <sheet name="Truck_Rhuqa_A2" sheetId="18" r:id="rId15"/>
    <sheet name="Truck_Rhuqa_A3" sheetId="19" r:id="rId16"/>
    <sheet name="Trailer_Kumanzi_A1" sheetId="15" r:id="rId17"/>
    <sheet name="Trailer_Kumanzi_A2" sheetId="16" r:id="rId18"/>
    <sheet name="Trailer_Kumanzi_10m_A1 " sheetId="20" r:id="rId19"/>
    <sheet name="Trailer_Kumanzi_10m_A2" sheetId="21" r:id="rId20"/>
    <sheet name="Trailer_Elula_f" sheetId="3" r:id="rId21"/>
    <sheet name="Trailer_Thwala_f" sheetId="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23" l="1"/>
  <c r="H12" i="23"/>
  <c r="H11" i="23"/>
  <c r="H12" i="22"/>
  <c r="H11" i="22"/>
  <c r="H11" i="17"/>
  <c r="H11" i="18"/>
  <c r="H11" i="19"/>
  <c r="H9" i="19" l="1"/>
  <c r="H7" i="19"/>
  <c r="H9" i="17"/>
  <c r="H9" i="18"/>
  <c r="H7" i="18"/>
  <c r="H7" i="17"/>
  <c r="H12" i="21"/>
  <c r="H6" i="21"/>
  <c r="H12" i="20"/>
  <c r="H6" i="20"/>
  <c r="H12" i="19"/>
  <c r="H6" i="19"/>
  <c r="H12" i="18"/>
  <c r="H6" i="18"/>
  <c r="H12" i="17"/>
  <c r="H6" i="17"/>
  <c r="H11" i="14"/>
  <c r="H12" i="14" l="1"/>
  <c r="H12" i="13"/>
  <c r="H12" i="16"/>
  <c r="H11" i="13"/>
  <c r="G13" i="16" l="1"/>
  <c r="G13" i="15"/>
  <c r="G13" i="14" l="1"/>
  <c r="G13" i="13"/>
  <c r="H6" i="16" l="1"/>
  <c r="H12" i="15"/>
  <c r="H6" i="15"/>
  <c r="H6" i="14" l="1"/>
  <c r="H6" i="12"/>
  <c r="H6" i="13"/>
  <c r="H12" i="12" l="1"/>
  <c r="H11" i="12"/>
  <c r="H12" i="9" l="1"/>
  <c r="H12" i="10"/>
  <c r="H11" i="9"/>
  <c r="H7" i="9"/>
  <c r="H7" i="10"/>
  <c r="H11" i="10"/>
  <c r="H12" i="8" l="1"/>
  <c r="H11" i="8"/>
  <c r="H12" i="7" l="1"/>
  <c r="H11" i="7"/>
  <c r="H12" i="6" l="1"/>
  <c r="H11" i="6"/>
  <c r="H12" i="5" l="1"/>
  <c r="H11" i="5"/>
  <c r="H12" i="4" l="1"/>
  <c r="H11" i="4"/>
  <c r="H12" i="3" l="1"/>
  <c r="H11" i="3"/>
  <c r="H12" i="2" l="1"/>
  <c r="H11" i="2"/>
  <c r="H12" i="1"/>
  <c r="H11" i="1"/>
</calcChain>
</file>

<file path=xl/sharedStrings.xml><?xml version="1.0" encoding="utf-8"?>
<sst xmlns="http://schemas.openxmlformats.org/spreadsheetml/2006/main" count="838" uniqueCount="50">
  <si>
    <t>Units</t>
  </si>
  <si>
    <t>Comments</t>
  </si>
  <si>
    <t>x</t>
  </si>
  <si>
    <t>y</t>
  </si>
  <si>
    <t>z or scalar</t>
  </si>
  <si>
    <t>Type</t>
  </si>
  <si>
    <t>Susp</t>
  </si>
  <si>
    <t>Instance</t>
  </si>
  <si>
    <t>class</t>
  </si>
  <si>
    <t>Simple</t>
  </si>
  <si>
    <t>DOF15</t>
  </si>
  <si>
    <t>Heave</t>
  </si>
  <si>
    <t>sHeave</t>
  </si>
  <si>
    <t>m</t>
  </si>
  <si>
    <t>K</t>
  </si>
  <si>
    <t>N/m</t>
  </si>
  <si>
    <t>d</t>
  </si>
  <si>
    <t>N/(m/s)</t>
  </si>
  <si>
    <t>xInit</t>
  </si>
  <si>
    <t>Roll</t>
  </si>
  <si>
    <t>sRoll</t>
  </si>
  <si>
    <t>sWheelCentre</t>
  </si>
  <si>
    <t>Axle</t>
  </si>
  <si>
    <t>xAxle</t>
  </si>
  <si>
    <t>Axle Length</t>
  </si>
  <si>
    <t>mAxle</t>
  </si>
  <si>
    <t>kg</t>
  </si>
  <si>
    <t>Simple15DOF_Sedan_HambaLG_f</t>
  </si>
  <si>
    <t>Simple15DOF_TrailerElula</t>
  </si>
  <si>
    <t>Simple15DOF_TrailerThwala</t>
  </si>
  <si>
    <t>Simple15DOF_Sedan_Hamba_r</t>
  </si>
  <si>
    <t>Simple15DOF_Sedan_Hamba_f</t>
  </si>
  <si>
    <t>Simple15DOF_Sedan_HambaLG_r</t>
  </si>
  <si>
    <t>Simple15DOF_Bus_Makhulu_f</t>
  </si>
  <si>
    <t>Simple15DOF_Bus_Makhulu_r</t>
  </si>
  <si>
    <t>Simple15DOF_Bus_Makhulu_Axle3_A3</t>
  </si>
  <si>
    <t>Simple15DOF_Bus_Makhulu_Axle3_A2</t>
  </si>
  <si>
    <t>Simple15DOF_Truck_Amandla_A1</t>
  </si>
  <si>
    <t>Simple15DOF_Truck_Amandla_A2</t>
  </si>
  <si>
    <t>Simple15DOF_Truck_Amandla_A3</t>
  </si>
  <si>
    <t>Simple15DOF_Trailer_Kumanzi_A1</t>
  </si>
  <si>
    <t>Simple15DOF_Trailer_Kumanzi_A2</t>
  </si>
  <si>
    <t>Simple15DOF_Truck_Rhuqa_A1</t>
  </si>
  <si>
    <t>Simple15DOF_Truck_Rhuqa_A2</t>
  </si>
  <si>
    <t>Simple15DOF_Truck_Rhuqa_A3</t>
  </si>
  <si>
    <t>Simple15DOF_Trailer_Kumanzi_10m_A1</t>
  </si>
  <si>
    <t>Simple15DOF_Trailer_Kumanzi_10m_A2</t>
  </si>
  <si>
    <t>Simple15DOF_SUV_Landy_f</t>
  </si>
  <si>
    <t>Simple15DOF_SUV_Landy_r</t>
  </si>
  <si>
    <t>For loaded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</si>
</sst>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83E3-7BE9-45FE-9A9B-66A8AC6DDA2C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7" sqref="H7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27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-0.26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0.99209999999999998</v>
      </c>
      <c r="H13" s="9">
        <v>0.36214285714285716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55A4-CC0B-4CE5-A308-A6BA9343B34F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3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32</v>
      </c>
    </row>
    <row r="4" spans="1:8" x14ac:dyDescent="0.25">
      <c r="A4" s="11" t="s">
        <v>8</v>
      </c>
      <c r="B4" s="12"/>
      <c r="C4" s="12"/>
      <c r="D4" s="12"/>
      <c r="E4" s="15"/>
      <c r="F4" s="15"/>
      <c r="G4" s="15"/>
      <c r="H4" s="16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50000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-0.28999999999999998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0.99209999999999998</v>
      </c>
      <c r="H13" s="9">
        <v>0.36214285714285716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C7D-C5FE-4ED3-984B-909C14C4C2BD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9" sqref="H9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31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-0.15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20">
        <v>0.78649999999999998</v>
      </c>
      <c r="H13" s="9">
        <v>0.3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FC82-58C0-41F6-AAAD-D757BC4D1503}">
  <sheetPr>
    <tabColor theme="7" tint="0.39997558519241921"/>
  </sheetPr>
  <dimension ref="A1:H15"/>
  <sheetViews>
    <sheetView tabSelected="1"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K17" sqref="K17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3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30</v>
      </c>
    </row>
    <row r="4" spans="1:8" x14ac:dyDescent="0.25">
      <c r="A4" s="11" t="s">
        <v>8</v>
      </c>
      <c r="B4" s="12"/>
      <c r="C4" s="12"/>
      <c r="D4" s="12"/>
      <c r="E4" s="15"/>
      <c r="F4" s="15"/>
      <c r="G4" s="15"/>
      <c r="H4" s="16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-0.15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0.78649999999999998</v>
      </c>
      <c r="H13" s="9">
        <v>0.3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44DB-D571-48D8-8131-08757D11587F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9" sqref="H9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47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-0.15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E13" t="s">
        <v>49</v>
      </c>
      <c r="F13" s="9">
        <v>0</v>
      </c>
      <c r="G13" s="9">
        <v>0.74295</v>
      </c>
      <c r="H13" s="9">
        <v>0.38800000000000001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conditionalFormatting sqref="E13">
    <cfRule type="cellIs" dxfId="1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E355-76A6-40C7-B6FA-12AC45FF7B97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I20" sqref="I20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3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48</v>
      </c>
    </row>
    <row r="4" spans="1:8" x14ac:dyDescent="0.25">
      <c r="A4" s="11" t="s">
        <v>8</v>
      </c>
      <c r="B4" s="12"/>
      <c r="C4" s="12"/>
      <c r="D4" s="12"/>
      <c r="E4" s="15"/>
      <c r="F4" s="15"/>
      <c r="G4" s="15"/>
      <c r="H4" s="16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50000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f>-0.15-0.1</f>
        <v>-0.25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E13" t="s">
        <v>49</v>
      </c>
      <c r="F13" s="9">
        <v>0</v>
      </c>
      <c r="G13" s="9">
        <v>0.74295</v>
      </c>
      <c r="H13" s="9">
        <v>0.38800000000000001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conditionalFormatting sqref="E13">
    <cfRule type="cellIs" dxfId="0" priority="1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7FCD-2534-4478-BAC4-D67EADDA069F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2" sqref="H12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33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0.9829099</v>
      </c>
      <c r="H13" s="9">
        <v>0.46136149999999998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71D7-3A2F-45F6-AC18-20D7311A48CC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2" sqref="H12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34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21">
        <v>0.01</v>
      </c>
      <c r="G13" s="20">
        <v>0.83834449999999994</v>
      </c>
      <c r="H13" s="9">
        <v>0.46136149999999998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2AB7-D9A0-459D-BC79-8D114BE64124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M5" sqref="M5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36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f>66000/2</f>
        <v>33000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1750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20500/2/2</f>
        <v>5125</v>
      </c>
    </row>
    <row r="13" spans="1:8" x14ac:dyDescent="0.25">
      <c r="A13" s="4"/>
      <c r="B13" s="8" t="s">
        <v>21</v>
      </c>
      <c r="C13" s="8"/>
      <c r="D13" t="s">
        <v>13</v>
      </c>
      <c r="F13" s="21">
        <v>0.01</v>
      </c>
      <c r="G13" s="20">
        <v>0.83834449999999994</v>
      </c>
      <c r="H13" s="9">
        <v>0.46136149999999998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ECC0-6467-4655-A5C6-CF8B36416941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3" sqref="H13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35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f>66000/2</f>
        <v>33000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1750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20500/2/2</f>
        <v>5125</v>
      </c>
    </row>
    <row r="13" spans="1:8" x14ac:dyDescent="0.25">
      <c r="A13" s="4"/>
      <c r="B13" s="8" t="s">
        <v>21</v>
      </c>
      <c r="C13" s="8"/>
      <c r="D13" t="s">
        <v>13</v>
      </c>
      <c r="F13" s="21">
        <v>0.01</v>
      </c>
      <c r="G13" s="20">
        <v>0.83834449999999994</v>
      </c>
      <c r="H13" s="9">
        <v>0.46136149999999998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814A-2B23-47CA-A1E9-513AB4D28DE6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G13" sqref="G13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37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1.18895</v>
      </c>
      <c r="H13">
        <v>0.67310000000000003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8CBB-54A0-4303-8BF2-64CF66628F04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2" sqref="H12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38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4EC0-51E4-42A2-9325-050E6479DA1F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1" sqref="H11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39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A6DB-71B8-4C67-9508-229E7FC38BBB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G21" sqref="G21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42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f>66667*2</f>
        <v>133334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f>-0.35/2</f>
        <v>-0.17499999999999999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1.012</v>
      </c>
      <c r="H13">
        <v>0.52749999999999997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3C56-B9F4-4912-9395-58B62B2F08B9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1" sqref="H11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43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f>63333*2</f>
        <v>126666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f>-0.12</f>
        <v>-0.12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0.88100000000000001</v>
      </c>
      <c r="H13">
        <v>0.52749999999999997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81EF-FB5F-4CA3-ACED-32C59642B58E}">
  <sheetPr>
    <tabColor theme="7" tint="0.39997558519241921"/>
  </sheetPr>
  <dimension ref="A1:H15"/>
  <sheetViews>
    <sheetView workbookViewId="0">
      <pane xSplit="3" ySplit="1" topLeftCell="F2" activePane="bottomRight" state="frozen"/>
      <selection activeCell="E35" sqref="E35"/>
      <selection pane="topRight" activeCell="E35" sqref="E35"/>
      <selection pane="bottomLeft" activeCell="E35" sqref="E35"/>
      <selection pane="bottomRight" activeCell="H11" sqref="H11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44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f>63333*4</f>
        <v>253332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f>-0.05*2/2</f>
        <v>-0.05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f>66000</f>
        <v>66000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0.88100000000000001</v>
      </c>
      <c r="H13">
        <v>0.52749999999999997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5C69-1488-4D58-8AE5-09760CCF8BA6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9" sqref="H9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40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v>100000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C561-5646-4AD8-A7A2-390ECB1DD2C8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I19" sqref="I19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41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-0.21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v>100000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f>1.18895-0.4572/2</f>
        <v>0.96034999999999993</v>
      </c>
      <c r="H13">
        <v>0.67310000000000003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7C26-B9CB-4542-9A9C-7AEAFC31853D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0" sqref="H10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45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63333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v>100000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0.88100000000000001</v>
      </c>
      <c r="H13">
        <v>0.52749999999999997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1F00-5181-4059-AFFC-DD9E5AFA23A8}">
  <sheetPr>
    <tabColor theme="7" tint="0.39997558519241921"/>
  </sheetPr>
  <dimension ref="A1:H15"/>
  <sheetViews>
    <sheetView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H10" sqref="H10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8"/>
      <c r="C3" s="8"/>
      <c r="F3" s="9"/>
      <c r="G3" s="9"/>
      <c r="H3" s="10" t="s">
        <v>46</v>
      </c>
    </row>
    <row r="4" spans="1:8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8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8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f>0.04225*2</f>
        <v>8.4500000000000006E-2</v>
      </c>
    </row>
    <row r="7" spans="1:8" x14ac:dyDescent="0.25">
      <c r="A7" s="4"/>
      <c r="B7" s="4"/>
      <c r="C7" s="8" t="s">
        <v>14</v>
      </c>
      <c r="D7" t="s">
        <v>15</v>
      </c>
      <c r="F7" s="9"/>
      <c r="G7" s="9"/>
      <c r="H7" s="9">
        <v>63333</v>
      </c>
    </row>
    <row r="8" spans="1:8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</row>
    <row r="9" spans="1:8" x14ac:dyDescent="0.25">
      <c r="A9" s="4"/>
      <c r="B9" s="4"/>
      <c r="C9" s="8" t="s">
        <v>18</v>
      </c>
      <c r="D9" t="s">
        <v>13</v>
      </c>
      <c r="F9" s="9"/>
      <c r="G9" s="9"/>
      <c r="H9" s="9">
        <v>-0.1</v>
      </c>
    </row>
    <row r="10" spans="1:8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8" x14ac:dyDescent="0.25">
      <c r="A11" s="4"/>
      <c r="B11" s="4"/>
      <c r="C11" s="8" t="s">
        <v>14</v>
      </c>
      <c r="D11" t="s">
        <v>15</v>
      </c>
      <c r="F11" s="9"/>
      <c r="G11" s="9"/>
      <c r="H11" s="9">
        <v>100000</v>
      </c>
    </row>
    <row r="12" spans="1:8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8" x14ac:dyDescent="0.25">
      <c r="A13" s="4"/>
      <c r="B13" s="8" t="s">
        <v>21</v>
      </c>
      <c r="C13" s="8"/>
      <c r="D13" t="s">
        <v>13</v>
      </c>
      <c r="F13" s="9">
        <v>0</v>
      </c>
      <c r="G13" s="9">
        <v>0.88100000000000001</v>
      </c>
      <c r="H13">
        <v>0.52749999999999997</v>
      </c>
    </row>
    <row r="14" spans="1:8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8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80C1-5689-457F-B345-F063AA6574DE}">
  <sheetPr>
    <tabColor theme="7" tint="0.39997558519241921"/>
  </sheetPr>
  <dimension ref="A1:M15"/>
  <sheetViews>
    <sheetView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E27" sqref="E27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3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3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13" x14ac:dyDescent="0.25">
      <c r="A3" s="4" t="s">
        <v>7</v>
      </c>
      <c r="B3" s="8"/>
      <c r="C3" s="8"/>
      <c r="F3" s="9"/>
      <c r="G3" s="9"/>
      <c r="H3" s="10" t="s">
        <v>28</v>
      </c>
    </row>
    <row r="4" spans="1:13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13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13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13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  <c r="M7" s="19"/>
    </row>
    <row r="8" spans="1:13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  <c r="M8" s="9"/>
    </row>
    <row r="9" spans="1:13" x14ac:dyDescent="0.25">
      <c r="A9" s="4"/>
      <c r="B9" s="4"/>
      <c r="C9" s="8" t="s">
        <v>18</v>
      </c>
      <c r="D9" t="s">
        <v>13</v>
      </c>
      <c r="F9" s="9"/>
      <c r="G9" s="9"/>
      <c r="H9" s="9">
        <v>-0.05</v>
      </c>
    </row>
    <row r="10" spans="1:13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13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13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13" x14ac:dyDescent="0.25">
      <c r="A13" s="4"/>
      <c r="B13" s="8" t="s">
        <v>21</v>
      </c>
      <c r="C13" s="8"/>
      <c r="D13" t="s">
        <v>13</v>
      </c>
      <c r="F13" s="9">
        <v>0</v>
      </c>
      <c r="G13" s="9">
        <v>0.68889999999999996</v>
      </c>
      <c r="H13" s="9">
        <v>0.35329999999999995</v>
      </c>
    </row>
    <row r="14" spans="1:13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13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78A2-0E46-464C-8DB8-584FCCDFA0D8}">
  <sheetPr>
    <tabColor theme="7" tint="0.39997558519241921"/>
  </sheetPr>
  <dimension ref="A1:M15"/>
  <sheetViews>
    <sheetView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3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3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13" x14ac:dyDescent="0.25">
      <c r="A3" s="4" t="s">
        <v>7</v>
      </c>
      <c r="B3" s="8"/>
      <c r="C3" s="8"/>
      <c r="F3" s="9"/>
      <c r="G3" s="9"/>
      <c r="H3" s="10" t="s">
        <v>29</v>
      </c>
    </row>
    <row r="4" spans="1:13" x14ac:dyDescent="0.25">
      <c r="A4" s="11" t="s">
        <v>8</v>
      </c>
      <c r="B4" s="12"/>
      <c r="C4" s="12"/>
      <c r="D4" s="13"/>
      <c r="E4" s="13"/>
      <c r="F4" s="13"/>
      <c r="G4" s="13"/>
      <c r="H4" s="14" t="s">
        <v>9</v>
      </c>
    </row>
    <row r="5" spans="1:13" x14ac:dyDescent="0.25">
      <c r="A5" s="4" t="s">
        <v>9</v>
      </c>
      <c r="B5" s="11" t="s">
        <v>8</v>
      </c>
      <c r="C5" s="12"/>
      <c r="D5" s="12"/>
      <c r="E5" s="12"/>
      <c r="F5" s="15"/>
      <c r="G5" s="15"/>
      <c r="H5" s="16" t="s">
        <v>10</v>
      </c>
    </row>
    <row r="6" spans="1:13" x14ac:dyDescent="0.25">
      <c r="A6" s="4"/>
      <c r="B6" s="4" t="s">
        <v>11</v>
      </c>
      <c r="C6" s="8" t="s">
        <v>12</v>
      </c>
      <c r="D6" t="s">
        <v>13</v>
      </c>
      <c r="F6" s="17">
        <v>0</v>
      </c>
      <c r="G6" s="17">
        <v>0</v>
      </c>
      <c r="H6" s="17">
        <v>4.2250000000000003E-2</v>
      </c>
    </row>
    <row r="7" spans="1:13" x14ac:dyDescent="0.25">
      <c r="A7" s="4"/>
      <c r="B7" s="4"/>
      <c r="C7" s="8" t="s">
        <v>14</v>
      </c>
      <c r="D7" t="s">
        <v>15</v>
      </c>
      <c r="F7" s="9"/>
      <c r="G7" s="9"/>
      <c r="H7" s="9">
        <v>66000</v>
      </c>
      <c r="M7" s="19"/>
    </row>
    <row r="8" spans="1:13" x14ac:dyDescent="0.25">
      <c r="A8" s="4"/>
      <c r="B8" s="4"/>
      <c r="C8" s="8" t="s">
        <v>16</v>
      </c>
      <c r="D8" t="s">
        <v>17</v>
      </c>
      <c r="F8" s="9"/>
      <c r="G8" s="9"/>
      <c r="H8" s="9">
        <v>3500</v>
      </c>
      <c r="M8" s="9"/>
    </row>
    <row r="9" spans="1:13" x14ac:dyDescent="0.25">
      <c r="A9" s="4"/>
      <c r="B9" s="4"/>
      <c r="C9" s="8" t="s">
        <v>18</v>
      </c>
      <c r="D9" t="s">
        <v>13</v>
      </c>
      <c r="F9" s="9"/>
      <c r="G9" s="9"/>
      <c r="H9" s="9">
        <v>-0.05</v>
      </c>
    </row>
    <row r="10" spans="1:13" x14ac:dyDescent="0.25">
      <c r="A10" s="4"/>
      <c r="B10" s="4" t="s">
        <v>19</v>
      </c>
      <c r="C10" s="8" t="s">
        <v>20</v>
      </c>
      <c r="D10" t="s">
        <v>13</v>
      </c>
      <c r="F10" s="9">
        <v>0</v>
      </c>
      <c r="G10" s="9">
        <v>0</v>
      </c>
      <c r="H10" s="9">
        <v>0.21124999999999999</v>
      </c>
    </row>
    <row r="11" spans="1:13" x14ac:dyDescent="0.25">
      <c r="A11" s="4"/>
      <c r="B11" s="4"/>
      <c r="C11" s="8" t="s">
        <v>14</v>
      </c>
      <c r="D11" t="s">
        <v>15</v>
      </c>
      <c r="F11" s="9"/>
      <c r="G11" s="9"/>
      <c r="H11" s="9">
        <f>66000/2</f>
        <v>33000</v>
      </c>
    </row>
    <row r="12" spans="1:13" x14ac:dyDescent="0.25">
      <c r="A12" s="4"/>
      <c r="B12" s="4"/>
      <c r="C12" s="8" t="s">
        <v>16</v>
      </c>
      <c r="D12" t="s">
        <v>17</v>
      </c>
      <c r="F12" s="9"/>
      <c r="G12" s="9"/>
      <c r="H12" s="9">
        <f>20500/2</f>
        <v>10250</v>
      </c>
    </row>
    <row r="13" spans="1:13" x14ac:dyDescent="0.25">
      <c r="A13" s="4"/>
      <c r="B13" s="8" t="s">
        <v>21</v>
      </c>
      <c r="C13" s="8"/>
      <c r="D13" t="s">
        <v>13</v>
      </c>
      <c r="F13" s="9">
        <v>0</v>
      </c>
      <c r="G13" s="9">
        <v>0.71099999999999997</v>
      </c>
      <c r="H13" s="9">
        <v>0.26750000000000002</v>
      </c>
    </row>
    <row r="14" spans="1:13" x14ac:dyDescent="0.25">
      <c r="A14" s="4"/>
      <c r="B14" s="4" t="s">
        <v>22</v>
      </c>
      <c r="C14" s="8" t="s">
        <v>23</v>
      </c>
      <c r="D14" t="s">
        <v>13</v>
      </c>
      <c r="E14" t="s">
        <v>24</v>
      </c>
      <c r="F14" s="9"/>
      <c r="G14" s="9"/>
      <c r="H14" s="9">
        <v>0.15</v>
      </c>
    </row>
    <row r="15" spans="1:13" x14ac:dyDescent="0.25">
      <c r="A15" s="4"/>
      <c r="B15" s="4"/>
      <c r="C15" s="8" t="s">
        <v>25</v>
      </c>
      <c r="D15" t="s">
        <v>26</v>
      </c>
      <c r="F15" s="9"/>
      <c r="G15" s="9"/>
      <c r="H15" s="9">
        <v>1.76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Sedan_HambaLG_f</vt:lpstr>
      <vt:lpstr>Sedan_HambaLG_r</vt:lpstr>
      <vt:lpstr>Sedan_Hamba_f</vt:lpstr>
      <vt:lpstr>Sedan_Hamba_r</vt:lpstr>
      <vt:lpstr>SUV_Landy_f</vt:lpstr>
      <vt:lpstr>SUV_Landy_r</vt:lpstr>
      <vt:lpstr>Bus_Makhulu_f</vt:lpstr>
      <vt:lpstr>Bus_Makhulu_r</vt:lpstr>
      <vt:lpstr>Bus_Makhulu_Axle3_A2</vt:lpstr>
      <vt:lpstr>Bus_Makhulu_Axle3_A3</vt:lpstr>
      <vt:lpstr>Truck_Amandla_A1</vt:lpstr>
      <vt:lpstr>Truck_Amandla_A2</vt:lpstr>
      <vt:lpstr>Truck_Amandla_A3</vt:lpstr>
      <vt:lpstr>Truck_Rhuqa_A1</vt:lpstr>
      <vt:lpstr>Truck_Rhuqa_A2</vt:lpstr>
      <vt:lpstr>Truck_Rhuqa_A3</vt:lpstr>
      <vt:lpstr>Trailer_Kumanzi_A1</vt:lpstr>
      <vt:lpstr>Trailer_Kumanzi_A2</vt:lpstr>
      <vt:lpstr>Trailer_Kumanzi_10m_A1 </vt:lpstr>
      <vt:lpstr>Trailer_Kumanzi_10m_A2</vt:lpstr>
      <vt:lpstr>Trailer_Elula_f</vt:lpstr>
      <vt:lpstr>Trailer_Thwala_f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2019-11-06T16:53:36Z</dcterms:created>
  <dcterms:modified xsi:type="dcterms:W3CDTF">2026-02-03T16:17:49Z</dcterms:modified>
</cp:coreProperties>
</file>