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\Others\smiller\ssvt_srcR22a\Libraries\Vehicle\Suspension\LUT\"/>
    </mc:Choice>
  </mc:AlternateContent>
  <xr:revisionPtr revIDLastSave="0" documentId="13_ncr:1_{83283F34-3F1B-4896-BFCB-676D5A2675B2}" xr6:coauthVersionLast="47" xr6:coauthVersionMax="47" xr10:uidLastSave="{00000000-0000-0000-0000-000000000000}"/>
  <bookViews>
    <workbookView xWindow="-120" yWindow="-120" windowWidth="29040" windowHeight="15720" tabRatio="964" activeTab="1" xr2:uid="{00000000-000D-0000-FFFF-FFFF00000000}"/>
  </bookViews>
  <sheets>
    <sheet name="Sedan_Hamba_f" sheetId="5" r:id="rId1"/>
    <sheet name="Sedan_Hamba_r" sheetId="6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0" i="6" l="1"/>
  <c r="H20" i="5"/>
</calcChain>
</file>

<file path=xl/sharedStrings.xml><?xml version="1.0" encoding="utf-8"?>
<sst xmlns="http://schemas.openxmlformats.org/spreadsheetml/2006/main" count="154" uniqueCount="54">
  <si>
    <t>Units</t>
  </si>
  <si>
    <t>Comments</t>
  </si>
  <si>
    <t>x</t>
  </si>
  <si>
    <t>y</t>
  </si>
  <si>
    <t>z or scalar</t>
  </si>
  <si>
    <t>Type</t>
  </si>
  <si>
    <t>Susp</t>
  </si>
  <si>
    <t>Instance</t>
  </si>
  <si>
    <t>class</t>
  </si>
  <si>
    <t>m</t>
  </si>
  <si>
    <t>d</t>
  </si>
  <si>
    <t>N/(m/s)</t>
  </si>
  <si>
    <t>xInit</t>
  </si>
  <si>
    <t>sWheelCentre</t>
  </si>
  <si>
    <t>Axle</t>
  </si>
  <si>
    <t>xAxle</t>
  </si>
  <si>
    <t>Axle Length</t>
  </si>
  <si>
    <t>mAxle</t>
  </si>
  <si>
    <t>kg</t>
  </si>
  <si>
    <t>LUT</t>
  </si>
  <si>
    <t>LUT_Sedan_Hamba_r</t>
  </si>
  <si>
    <t>LUT_Sedan_Hamba_f</t>
  </si>
  <si>
    <t>Kinematics</t>
  </si>
  <si>
    <t>deg</t>
  </si>
  <si>
    <t>aToe</t>
  </si>
  <si>
    <t>rad</t>
  </si>
  <si>
    <t>zaToe</t>
  </si>
  <si>
    <t>aCaster</t>
  </si>
  <si>
    <t>zaCamber</t>
  </si>
  <si>
    <t>aCamber</t>
  </si>
  <si>
    <t>xLong</t>
  </si>
  <si>
    <t>xLat</t>
  </si>
  <si>
    <t>zxLong</t>
  </si>
  <si>
    <t>Spring</t>
  </si>
  <si>
    <t>tFiltKin</t>
  </si>
  <si>
    <t>sec</t>
  </si>
  <si>
    <t>tFiltPz</t>
  </si>
  <si>
    <t>Wheel</t>
  </si>
  <si>
    <t>UnsprungMass</t>
  </si>
  <si>
    <t>sCG</t>
  </si>
  <si>
    <t>J</t>
  </si>
  <si>
    <t>kg*m^2</t>
  </si>
  <si>
    <t>Steer</t>
  </si>
  <si>
    <t>Compliance</t>
  </si>
  <si>
    <t>Rigid</t>
  </si>
  <si>
    <t>zxLat</t>
  </si>
  <si>
    <t>zaCaster</t>
  </si>
  <si>
    <t>aKPI</t>
  </si>
  <si>
    <t>f</t>
  </si>
  <si>
    <t>N</t>
  </si>
  <si>
    <t>vrt</t>
  </si>
  <si>
    <t>zvrt</t>
  </si>
  <si>
    <t>Velocity ratio (vShock/vVertical)</t>
  </si>
  <si>
    <t>Heights for velocity ratio vector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</si>
</sst>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3" x14ac:knownFonts="1"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 tint="-4.9897762993255407E-2"/>
        <bgColor indexed="64"/>
      </patternFill>
    </fill>
    <fill>
      <patternFill patternType="solid">
        <fgColor theme="7" tint="0.7999511703848384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left"/>
    </xf>
    <xf numFmtId="0" fontId="0" fillId="2" borderId="0" xfId="0" applyFill="1"/>
    <xf numFmtId="0" fontId="1" fillId="2" borderId="0" xfId="0" applyFont="1" applyFill="1" applyAlignment="1">
      <alignment horizontal="center"/>
    </xf>
    <xf numFmtId="0" fontId="0" fillId="3" borderId="0" xfId="0" applyFill="1" applyAlignment="1">
      <alignment horizontal="left"/>
    </xf>
    <xf numFmtId="0" fontId="1" fillId="3" borderId="0" xfId="0" applyFont="1" applyFill="1" applyAlignment="1">
      <alignment horizontal="left"/>
    </xf>
    <xf numFmtId="0" fontId="1" fillId="0" borderId="0" xfId="0" applyFont="1" applyAlignment="1">
      <alignment horizontal="left"/>
    </xf>
    <xf numFmtId="0" fontId="0" fillId="0" borderId="0" xfId="0" applyAlignment="1">
      <alignment horizontal="right"/>
    </xf>
    <xf numFmtId="0" fontId="0" fillId="3" borderId="0" xfId="0" applyFill="1"/>
    <xf numFmtId="2" fontId="2" fillId="0" borderId="0" xfId="0" applyNumberFormat="1" applyFont="1"/>
    <xf numFmtId="2" fontId="2" fillId="0" borderId="0" xfId="0" applyNumberFormat="1" applyFont="1" applyAlignment="1">
      <alignment horizontal="right"/>
    </xf>
    <xf numFmtId="0" fontId="0" fillId="4" borderId="0" xfId="0" applyFill="1" applyAlignment="1">
      <alignment horizontal="left"/>
    </xf>
    <xf numFmtId="0" fontId="0" fillId="4" borderId="0" xfId="0" applyFill="1"/>
    <xf numFmtId="0" fontId="1" fillId="4" borderId="0" xfId="0" applyFont="1" applyFill="1" applyAlignment="1">
      <alignment horizontal="center"/>
    </xf>
    <xf numFmtId="0" fontId="0" fillId="4" borderId="0" xfId="0" applyFill="1" applyAlignment="1">
      <alignment horizontal="right"/>
    </xf>
    <xf numFmtId="2" fontId="2" fillId="4" borderId="0" xfId="0" applyNumberFormat="1" applyFont="1" applyFill="1"/>
    <xf numFmtId="2" fontId="2" fillId="4" borderId="0" xfId="0" applyNumberFormat="1" applyFont="1" applyFill="1" applyAlignment="1">
      <alignment horizontal="right"/>
    </xf>
    <xf numFmtId="0" fontId="2" fillId="0" borderId="0" xfId="0" applyFont="1"/>
    <xf numFmtId="0" fontId="0" fillId="0" borderId="0" xfId="0" applyAlignment="1">
      <alignment horizontal="left"/>
    </xf>
    <xf numFmtId="164" fontId="2" fillId="0" borderId="0" xfId="0" applyNumberFormat="1" applyFont="1"/>
    <xf numFmtId="165" fontId="0" fillId="0" borderId="0" xfId="0" applyNumberFormat="1"/>
    <xf numFmtId="165" fontId="2" fillId="0" borderId="0" xfId="0" applyNumberFormat="1" applyFont="1"/>
  </cellXfs>
  <cellStyles count="1">
    <cellStyle name="Normal" xfId="0" builtinId="0"/>
  </cellStyles>
  <dxfs count="3">
    <dxf>
      <fill>
        <patternFill>
          <bgColor theme="7" tint="0.79995117038483843"/>
        </patternFill>
      </fill>
    </dxf>
    <dxf>
      <fill>
        <patternFill>
          <bgColor theme="7" tint="0.79995117038483843"/>
        </patternFill>
      </fill>
    </dxf>
    <dxf>
      <fill>
        <patternFill>
          <bgColor theme="7" tint="0.7999511703848384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E3C7D-C5FE-4ED3-984B-909C14C4C2BD}">
  <sheetPr>
    <tabColor theme="7" tint="0.39997558519241921"/>
  </sheetPr>
  <dimension ref="A1:AA32"/>
  <sheetViews>
    <sheetView zoomScale="70" zoomScaleNormal="70" workbookViewId="0">
      <pane xSplit="3" ySplit="1" topLeftCell="D2" activePane="bottomRight" state="frozen"/>
      <selection activeCell="E35" sqref="E35"/>
      <selection pane="topRight" activeCell="E35" sqref="E35"/>
      <selection pane="bottomLeft" activeCell="E35" sqref="E35"/>
      <selection pane="bottomRight" activeCell="A5" sqref="A5:XFD44"/>
    </sheetView>
  </sheetViews>
  <sheetFormatPr defaultRowHeight="15" x14ac:dyDescent="0.25"/>
  <cols>
    <col min="1" max="1" width="14.42578125" style="18" customWidth="1"/>
    <col min="2" max="2" width="12.7109375" customWidth="1"/>
    <col min="3" max="3" width="15.7109375" customWidth="1"/>
    <col min="4" max="4" width="11.140625" customWidth="1"/>
    <col min="5" max="5" width="16.7109375" customWidth="1"/>
    <col min="6" max="7" width="10" customWidth="1"/>
    <col min="8" max="8" width="19.5703125" customWidth="1"/>
    <col min="9" max="10" width="13.42578125" customWidth="1"/>
    <col min="11" max="12" width="14.42578125" customWidth="1"/>
    <col min="13" max="13" width="13.42578125" customWidth="1"/>
    <col min="14" max="17" width="14.42578125" customWidth="1"/>
    <col min="18" max="18" width="14.7109375" customWidth="1"/>
    <col min="19" max="25" width="13.7109375" customWidth="1"/>
    <col min="26" max="27" width="12.7109375" customWidth="1"/>
    <col min="28" max="28" width="13.7109375" customWidth="1"/>
    <col min="29" max="29" width="12.7109375" customWidth="1"/>
    <col min="30" max="30" width="11.7109375" customWidth="1"/>
    <col min="31" max="31" width="12.7109375" customWidth="1"/>
  </cols>
  <sheetData>
    <row r="1" spans="1:27" x14ac:dyDescent="0.25">
      <c r="A1" s="1"/>
      <c r="B1" s="2"/>
      <c r="C1" s="3"/>
      <c r="D1" s="3" t="s">
        <v>0</v>
      </c>
      <c r="E1" s="3" t="s">
        <v>1</v>
      </c>
      <c r="F1" s="3" t="s">
        <v>2</v>
      </c>
      <c r="G1" s="3" t="s">
        <v>3</v>
      </c>
      <c r="H1" s="3" t="s">
        <v>4</v>
      </c>
    </row>
    <row r="2" spans="1:27" x14ac:dyDescent="0.25">
      <c r="A2" s="4" t="s">
        <v>5</v>
      </c>
      <c r="B2" s="4"/>
      <c r="C2" s="5"/>
      <c r="D2" s="6"/>
      <c r="E2" s="6"/>
      <c r="F2" s="6"/>
      <c r="G2" s="6"/>
      <c r="H2" s="7" t="s">
        <v>6</v>
      </c>
    </row>
    <row r="3" spans="1:27" x14ac:dyDescent="0.25">
      <c r="A3" s="4" t="s">
        <v>7</v>
      </c>
      <c r="B3" s="8"/>
      <c r="C3" s="8"/>
      <c r="F3" s="9"/>
      <c r="G3" s="9"/>
      <c r="H3" s="10" t="s">
        <v>21</v>
      </c>
    </row>
    <row r="4" spans="1:27" x14ac:dyDescent="0.25">
      <c r="A4" s="11" t="s">
        <v>8</v>
      </c>
      <c r="B4" s="12"/>
      <c r="C4" s="12"/>
      <c r="D4" s="13"/>
      <c r="E4" s="13"/>
      <c r="F4" s="13"/>
      <c r="G4" s="13"/>
      <c r="H4" s="14" t="s">
        <v>19</v>
      </c>
    </row>
    <row r="5" spans="1:27" x14ac:dyDescent="0.25">
      <c r="A5" s="4" t="s">
        <v>19</v>
      </c>
      <c r="B5" s="11" t="s">
        <v>8</v>
      </c>
      <c r="C5" s="12"/>
      <c r="D5" s="12"/>
      <c r="E5" s="12"/>
      <c r="F5" s="15"/>
      <c r="G5" s="15"/>
      <c r="H5" s="16" t="s">
        <v>19</v>
      </c>
    </row>
    <row r="6" spans="1:27" x14ac:dyDescent="0.25">
      <c r="A6" s="4"/>
      <c r="B6" s="4" t="s">
        <v>22</v>
      </c>
      <c r="C6" s="8" t="s">
        <v>24</v>
      </c>
      <c r="D6" t="s">
        <v>25</v>
      </c>
      <c r="H6" s="20">
        <v>9.0027518120193726</v>
      </c>
      <c r="I6" s="20">
        <v>7.4837086657786669</v>
      </c>
      <c r="J6" s="20">
        <v>6.1661648844716197</v>
      </c>
      <c r="K6" s="20">
        <v>5.0119675293419874</v>
      </c>
      <c r="L6" s="20">
        <v>3.9942530639547602</v>
      </c>
      <c r="M6" s="20">
        <v>3.0935198503250363</v>
      </c>
      <c r="N6" s="20">
        <v>2.2952615853749356</v>
      </c>
      <c r="O6" s="20">
        <v>1.5884393312924721</v>
      </c>
      <c r="P6" s="20">
        <v>0.96456435506069749</v>
      </c>
      <c r="Q6" s="20">
        <v>0.41703711838763402</v>
      </c>
      <c r="R6" s="20">
        <v>-5.9249735483467986E-2</v>
      </c>
      <c r="S6" s="20">
        <v>-0.46824689415483367</v>
      </c>
      <c r="T6" s="20">
        <v>-0.81314427726085636</v>
      </c>
      <c r="U6" s="20">
        <v>-1.096169778171207</v>
      </c>
      <c r="V6" s="20">
        <v>-1.3189730928550516</v>
      </c>
      <c r="W6" s="20">
        <v>-1.48269101948835</v>
      </c>
      <c r="X6" s="20">
        <v>-1.5879401762661982</v>
      </c>
      <c r="Y6" s="20">
        <v>-1.6348636642491372</v>
      </c>
      <c r="Z6" s="20">
        <v>-1.6231580961415291</v>
      </c>
      <c r="AA6" s="20">
        <v>-1.5520359927012757</v>
      </c>
    </row>
    <row r="7" spans="1:27" x14ac:dyDescent="0.25">
      <c r="A7" s="4"/>
      <c r="B7" s="4"/>
      <c r="C7" s="8" t="s">
        <v>26</v>
      </c>
      <c r="D7" t="s">
        <v>9</v>
      </c>
      <c r="H7" s="20">
        <v>-0.13454832900683225</v>
      </c>
      <c r="I7" s="20">
        <v>-0.12091256605667783</v>
      </c>
      <c r="J7" s="20">
        <v>-0.10727680310652341</v>
      </c>
      <c r="K7" s="20">
        <v>-9.3641040156368982E-2</v>
      </c>
      <c r="L7" s="20">
        <v>-8.0005277206214559E-2</v>
      </c>
      <c r="M7" s="20">
        <v>-6.6369514256060136E-2</v>
      </c>
      <c r="N7" s="20">
        <v>-5.2733751305905727E-2</v>
      </c>
      <c r="O7" s="20">
        <v>-3.9097988355751304E-2</v>
      </c>
      <c r="P7" s="20">
        <v>-2.5462225405596881E-2</v>
      </c>
      <c r="Q7" s="20">
        <v>-1.1826462455442457E-2</v>
      </c>
      <c r="R7" s="20">
        <v>1.8093004947119795E-3</v>
      </c>
      <c r="S7" s="20">
        <v>1.5445063444866375E-2</v>
      </c>
      <c r="T7" s="20">
        <v>2.9080826395020798E-2</v>
      </c>
      <c r="U7" s="20">
        <v>4.2716589345175249E-2</v>
      </c>
      <c r="V7" s="20">
        <v>5.6352352295329644E-2</v>
      </c>
      <c r="W7" s="20">
        <v>6.9988115245484067E-2</v>
      </c>
      <c r="X7" s="20">
        <v>8.362387819563849E-2</v>
      </c>
      <c r="Y7" s="20">
        <v>9.7259641145792886E-2</v>
      </c>
      <c r="Z7" s="20">
        <v>0.11089540409594734</v>
      </c>
      <c r="AA7" s="20">
        <v>0.12453116704610179</v>
      </c>
    </row>
    <row r="8" spans="1:27" x14ac:dyDescent="0.25">
      <c r="A8" s="4"/>
      <c r="B8" s="4"/>
      <c r="C8" s="8" t="s">
        <v>27</v>
      </c>
      <c r="D8" t="s">
        <v>25</v>
      </c>
      <c r="H8" s="20">
        <v>0</v>
      </c>
      <c r="I8" s="20">
        <v>0</v>
      </c>
      <c r="J8" s="20">
        <v>0</v>
      </c>
      <c r="K8" s="20">
        <v>0</v>
      </c>
      <c r="L8" s="20">
        <v>0</v>
      </c>
      <c r="M8" s="20">
        <v>0</v>
      </c>
      <c r="N8" s="20">
        <v>0</v>
      </c>
      <c r="O8" s="20">
        <v>0</v>
      </c>
      <c r="P8" s="20">
        <v>0</v>
      </c>
      <c r="Q8" s="20">
        <v>0</v>
      </c>
      <c r="R8" s="20">
        <v>0</v>
      </c>
      <c r="S8" s="20">
        <v>0</v>
      </c>
      <c r="T8" s="20">
        <v>0</v>
      </c>
      <c r="U8" s="20">
        <v>0</v>
      </c>
      <c r="V8" s="20">
        <v>0</v>
      </c>
      <c r="W8" s="20">
        <v>0</v>
      </c>
      <c r="X8" s="20">
        <v>0</v>
      </c>
      <c r="Y8" s="20">
        <v>0</v>
      </c>
      <c r="Z8" s="20">
        <v>0</v>
      </c>
      <c r="AA8" s="20">
        <v>0</v>
      </c>
    </row>
    <row r="9" spans="1:27" x14ac:dyDescent="0.25">
      <c r="A9" s="4"/>
      <c r="B9" s="4"/>
      <c r="C9" s="8" t="s">
        <v>46</v>
      </c>
      <c r="D9" t="s">
        <v>9</v>
      </c>
      <c r="H9" s="20">
        <v>-0.13454832900683225</v>
      </c>
      <c r="I9" s="20">
        <v>-0.12091256605667783</v>
      </c>
      <c r="J9" s="20">
        <v>-0.10727680310652341</v>
      </c>
      <c r="K9" s="20">
        <v>-9.3641040156368982E-2</v>
      </c>
      <c r="L9" s="20">
        <v>-8.0005277206214559E-2</v>
      </c>
      <c r="M9" s="20">
        <v>-6.6369514256060136E-2</v>
      </c>
      <c r="N9" s="20">
        <v>-5.2733751305905727E-2</v>
      </c>
      <c r="O9" s="20">
        <v>-3.9097988355751304E-2</v>
      </c>
      <c r="P9" s="20">
        <v>-2.5462225405596881E-2</v>
      </c>
      <c r="Q9" s="20">
        <v>-1.1826462455442457E-2</v>
      </c>
      <c r="R9" s="20">
        <v>1.8093004947119795E-3</v>
      </c>
      <c r="S9" s="20">
        <v>1.5445063444866375E-2</v>
      </c>
      <c r="T9" s="20">
        <v>2.9080826395020798E-2</v>
      </c>
      <c r="U9" s="20">
        <v>4.2716589345175249E-2</v>
      </c>
      <c r="V9" s="20">
        <v>5.6352352295329644E-2</v>
      </c>
      <c r="W9" s="20">
        <v>6.9988115245484067E-2</v>
      </c>
      <c r="X9" s="20">
        <v>8.362387819563849E-2</v>
      </c>
      <c r="Y9" s="20">
        <v>9.7259641145792886E-2</v>
      </c>
      <c r="Z9" s="20">
        <v>0.11089540409594734</v>
      </c>
      <c r="AA9" s="20">
        <v>0.12453116704610179</v>
      </c>
    </row>
    <row r="10" spans="1:27" x14ac:dyDescent="0.25">
      <c r="A10" s="4"/>
      <c r="B10" s="4"/>
      <c r="C10" s="8" t="s">
        <v>29</v>
      </c>
      <c r="D10" t="s">
        <v>25</v>
      </c>
      <c r="H10" s="20">
        <v>-0.9419735028831302</v>
      </c>
      <c r="I10" s="20">
        <v>-0.44626713182683336</v>
      </c>
      <c r="J10" s="20">
        <v>-6.7223481271746766E-2</v>
      </c>
      <c r="K10" s="20">
        <v>0.21065713716434389</v>
      </c>
      <c r="L10" s="20">
        <v>0.39868372896987525</v>
      </c>
      <c r="M10" s="20">
        <v>0.50508478911011878</v>
      </c>
      <c r="N10" s="20">
        <v>0.53576887909494397</v>
      </c>
      <c r="O10" s="20">
        <v>0.49486736997777431</v>
      </c>
      <c r="P10" s="20">
        <v>0.38507602812021718</v>
      </c>
      <c r="Q10" s="20">
        <v>0.20789217249850711</v>
      </c>
      <c r="R10" s="20">
        <v>-3.6259431762565894E-2</v>
      </c>
      <c r="S10" s="20">
        <v>-0.34791388821016589</v>
      </c>
      <c r="T10" s="20">
        <v>-0.72831796723088804</v>
      </c>
      <c r="U10" s="20">
        <v>-1.1797938368418528</v>
      </c>
      <c r="V10" s="20">
        <v>-1.7054911906411869</v>
      </c>
      <c r="W10" s="20">
        <v>-2.3094360147467321</v>
      </c>
      <c r="X10" s="20">
        <v>-2.9967005781765437</v>
      </c>
      <c r="Y10" s="20">
        <v>-3.7735136487555345</v>
      </c>
      <c r="Z10" s="20">
        <v>-4.6474565946748756</v>
      </c>
      <c r="AA10" s="20">
        <v>-5.6277283018281432</v>
      </c>
    </row>
    <row r="11" spans="1:27" x14ac:dyDescent="0.25">
      <c r="A11" s="4"/>
      <c r="B11" s="4"/>
      <c r="C11" s="8" t="s">
        <v>28</v>
      </c>
      <c r="D11" t="s">
        <v>9</v>
      </c>
      <c r="H11" s="20">
        <v>-0.13454832900683225</v>
      </c>
      <c r="I11" s="20">
        <v>-0.12091256605667783</v>
      </c>
      <c r="J11" s="20">
        <v>-0.10727680310652341</v>
      </c>
      <c r="K11" s="20">
        <v>-9.3641040156368982E-2</v>
      </c>
      <c r="L11" s="20">
        <v>-8.0005277206214559E-2</v>
      </c>
      <c r="M11" s="20">
        <v>-6.6369514256060136E-2</v>
      </c>
      <c r="N11" s="20">
        <v>-5.2733751305905727E-2</v>
      </c>
      <c r="O11" s="20">
        <v>-3.9097988355751304E-2</v>
      </c>
      <c r="P11" s="20">
        <v>-2.5462225405596881E-2</v>
      </c>
      <c r="Q11" s="20">
        <v>-1.1826462455442457E-2</v>
      </c>
      <c r="R11" s="20">
        <v>1.8093004947119795E-3</v>
      </c>
      <c r="S11" s="20">
        <v>1.5445063444866375E-2</v>
      </c>
      <c r="T11" s="20">
        <v>2.9080826395020798E-2</v>
      </c>
      <c r="U11" s="20">
        <v>4.2716589345175249E-2</v>
      </c>
      <c r="V11" s="20">
        <v>5.6352352295329644E-2</v>
      </c>
      <c r="W11" s="20">
        <v>6.9988115245484067E-2</v>
      </c>
      <c r="X11" s="20">
        <v>8.362387819563849E-2</v>
      </c>
      <c r="Y11" s="20">
        <v>9.7259641145792886E-2</v>
      </c>
      <c r="Z11" s="20">
        <v>0.11089540409594734</v>
      </c>
      <c r="AA11" s="20">
        <v>0.12453116704610179</v>
      </c>
    </row>
    <row r="12" spans="1:27" x14ac:dyDescent="0.25">
      <c r="A12" s="4"/>
      <c r="B12" s="4"/>
      <c r="C12" s="8" t="s">
        <v>30</v>
      </c>
      <c r="D12" t="s">
        <v>25</v>
      </c>
      <c r="H12" s="20">
        <v>1.8278584628777302E-2</v>
      </c>
      <c r="I12" s="20">
        <v>1.5731292091205305E-2</v>
      </c>
      <c r="J12" s="20">
        <v>1.3405769460076643E-2</v>
      </c>
      <c r="K12" s="20">
        <v>1.1264286120046775E-2</v>
      </c>
      <c r="L12" s="20">
        <v>9.2797162513118207E-3</v>
      </c>
      <c r="M12" s="20">
        <v>7.432060375753744E-3</v>
      </c>
      <c r="N12" s="20">
        <v>5.7062895205631054E-3</v>
      </c>
      <c r="O12" s="20">
        <v>4.0909074462384693E-3</v>
      </c>
      <c r="P12" s="20">
        <v>2.5770888262733596E-3</v>
      </c>
      <c r="Q12" s="20">
        <v>1.158037078685763E-3</v>
      </c>
      <c r="R12" s="20">
        <v>-1.7139033545489522E-4</v>
      </c>
      <c r="S12" s="20">
        <v>-1.4150159579205809E-3</v>
      </c>
      <c r="T12" s="20">
        <v>-2.5757878020040694E-3</v>
      </c>
      <c r="U12" s="20">
        <v>-3.6554718810090205E-3</v>
      </c>
      <c r="V12" s="20">
        <v>-4.6551059809802455E-3</v>
      </c>
      <c r="W12" s="20">
        <v>-5.575062668099747E-3</v>
      </c>
      <c r="X12" s="20">
        <v>-6.4150153833560306E-3</v>
      </c>
      <c r="Y12" s="20">
        <v>-7.1739929430060688E-3</v>
      </c>
      <c r="Z12" s="20">
        <v>-7.8503867216913829E-3</v>
      </c>
      <c r="AA12" s="20">
        <v>-8.4419316372193066E-3</v>
      </c>
    </row>
    <row r="13" spans="1:27" x14ac:dyDescent="0.25">
      <c r="A13" s="4"/>
      <c r="B13" s="4"/>
      <c r="C13" s="8" t="s">
        <v>32</v>
      </c>
      <c r="D13" t="s">
        <v>9</v>
      </c>
      <c r="H13" s="20">
        <v>-0.13454832900683225</v>
      </c>
      <c r="I13" s="20">
        <v>-0.12091256605667783</v>
      </c>
      <c r="J13" s="20">
        <v>-0.10727680310652341</v>
      </c>
      <c r="K13" s="20">
        <v>-9.3641040156368982E-2</v>
      </c>
      <c r="L13" s="20">
        <v>-8.0005277206214559E-2</v>
      </c>
      <c r="M13" s="20">
        <v>-6.6369514256060136E-2</v>
      </c>
      <c r="N13" s="20">
        <v>-5.2733751305905727E-2</v>
      </c>
      <c r="O13" s="20">
        <v>-3.9097988355751304E-2</v>
      </c>
      <c r="P13" s="20">
        <v>-2.5462225405596881E-2</v>
      </c>
      <c r="Q13" s="20">
        <v>-1.1826462455442457E-2</v>
      </c>
      <c r="R13" s="20">
        <v>1.8093004947119795E-3</v>
      </c>
      <c r="S13" s="20">
        <v>1.5445063444866375E-2</v>
      </c>
      <c r="T13" s="20">
        <v>2.9080826395020798E-2</v>
      </c>
      <c r="U13" s="20">
        <v>4.2716589345175249E-2</v>
      </c>
      <c r="V13" s="20">
        <v>5.6352352295329644E-2</v>
      </c>
      <c r="W13" s="20">
        <v>6.9988115245484067E-2</v>
      </c>
      <c r="X13" s="20">
        <v>8.362387819563849E-2</v>
      </c>
      <c r="Y13" s="20">
        <v>9.7259641145792886E-2</v>
      </c>
      <c r="Z13" s="20">
        <v>0.11089540409594734</v>
      </c>
      <c r="AA13" s="20">
        <v>0.12453116704610179</v>
      </c>
    </row>
    <row r="14" spans="1:27" x14ac:dyDescent="0.25">
      <c r="A14" s="4"/>
      <c r="B14" s="4"/>
      <c r="C14" s="8" t="s">
        <v>31</v>
      </c>
      <c r="D14" t="s">
        <v>9</v>
      </c>
      <c r="H14" s="20">
        <v>-2.3670503740674809E-2</v>
      </c>
      <c r="I14" s="20">
        <v>-1.7718737732321712E-2</v>
      </c>
      <c r="J14" s="20">
        <v>-1.274584322025335E-2</v>
      </c>
      <c r="K14" s="20">
        <v>-8.6504281373199557E-3</v>
      </c>
      <c r="L14" s="20">
        <v>-5.3577240560185478E-3</v>
      </c>
      <c r="M14" s="20">
        <v>-2.8118221667859963E-3</v>
      </c>
      <c r="N14" s="20">
        <v>-9.7067723822867201E-4</v>
      </c>
      <c r="O14" s="20">
        <v>1.9752917990869352E-4</v>
      </c>
      <c r="P14" s="20">
        <v>7.1631157472536481E-4</v>
      </c>
      <c r="Q14" s="20">
        <v>6.0251236146418067E-4</v>
      </c>
      <c r="R14" s="20">
        <v>-1.3315337357958977E-4</v>
      </c>
      <c r="S14" s="20">
        <v>-1.4852682987174157E-3</v>
      </c>
      <c r="T14" s="20">
        <v>-3.4516660509484455E-3</v>
      </c>
      <c r="U14" s="20">
        <v>-6.0367046743590985E-3</v>
      </c>
      <c r="V14" s="20">
        <v>-9.248902734166984E-3</v>
      </c>
      <c r="W14" s="20">
        <v>-1.3101206035508529E-2</v>
      </c>
      <c r="X14" s="20">
        <v>-1.7612139918477387E-2</v>
      </c>
      <c r="Y14" s="20">
        <v>-2.2806289267117998E-2</v>
      </c>
      <c r="Z14" s="20">
        <v>-2.8715345902124486E-2</v>
      </c>
      <c r="AA14" s="20">
        <v>-3.5379491271071095E-2</v>
      </c>
    </row>
    <row r="15" spans="1:27" x14ac:dyDescent="0.25">
      <c r="A15" s="4"/>
      <c r="B15" s="4"/>
      <c r="C15" s="8" t="s">
        <v>45</v>
      </c>
      <c r="D15" t="s">
        <v>9</v>
      </c>
      <c r="H15" s="20">
        <v>-0.13454832900683225</v>
      </c>
      <c r="I15" s="20">
        <v>-0.12091256605667783</v>
      </c>
      <c r="J15" s="20">
        <v>-0.10727680310652341</v>
      </c>
      <c r="K15" s="20">
        <v>-9.3641040156368982E-2</v>
      </c>
      <c r="L15" s="20">
        <v>-8.0005277206214559E-2</v>
      </c>
      <c r="M15" s="20">
        <v>-6.6369514256060136E-2</v>
      </c>
      <c r="N15" s="20">
        <v>-5.2733751305905727E-2</v>
      </c>
      <c r="O15" s="20">
        <v>-3.9097988355751304E-2</v>
      </c>
      <c r="P15" s="20">
        <v>-2.5462225405596881E-2</v>
      </c>
      <c r="Q15" s="20">
        <v>-1.1826462455442457E-2</v>
      </c>
      <c r="R15" s="20">
        <v>1.8093004947119795E-3</v>
      </c>
      <c r="S15" s="20">
        <v>1.5445063444866375E-2</v>
      </c>
      <c r="T15" s="20">
        <v>2.9080826395020798E-2</v>
      </c>
      <c r="U15" s="20">
        <v>4.2716589345175249E-2</v>
      </c>
      <c r="V15" s="20">
        <v>5.6352352295329644E-2</v>
      </c>
      <c r="W15" s="20">
        <v>6.9988115245484067E-2</v>
      </c>
      <c r="X15" s="20">
        <v>8.362387819563849E-2</v>
      </c>
      <c r="Y15" s="20">
        <v>9.7259641145792886E-2</v>
      </c>
      <c r="Z15" s="20">
        <v>0.11089540409594734</v>
      </c>
      <c r="AA15" s="20">
        <v>0.12453116704610179</v>
      </c>
    </row>
    <row r="16" spans="1:27" x14ac:dyDescent="0.25">
      <c r="A16" s="4"/>
      <c r="B16" s="4"/>
      <c r="C16" s="8" t="s">
        <v>34</v>
      </c>
      <c r="D16" t="s">
        <v>35</v>
      </c>
      <c r="F16" s="17"/>
      <c r="G16" s="17"/>
      <c r="H16" s="17">
        <v>1E-3</v>
      </c>
    </row>
    <row r="17" spans="1:27" x14ac:dyDescent="0.25">
      <c r="A17" s="4"/>
      <c r="B17" s="4"/>
      <c r="C17" s="8" t="s">
        <v>36</v>
      </c>
      <c r="D17" t="s">
        <v>35</v>
      </c>
      <c r="F17" s="17"/>
      <c r="G17" s="17"/>
      <c r="H17" s="17">
        <v>1E-3</v>
      </c>
    </row>
    <row r="18" spans="1:27" x14ac:dyDescent="0.25">
      <c r="A18" s="4"/>
      <c r="B18" s="4" t="s">
        <v>33</v>
      </c>
      <c r="C18" s="8" t="s">
        <v>48</v>
      </c>
      <c r="D18" t="s">
        <v>49</v>
      </c>
      <c r="F18" s="9"/>
      <c r="G18" s="9"/>
      <c r="H18" s="20">
        <v>290.12850829316903</v>
      </c>
      <c r="I18" s="20">
        <v>671.1568911393407</v>
      </c>
      <c r="J18" s="20">
        <v>1055.1267726782698</v>
      </c>
      <c r="K18" s="20">
        <v>1442.6001695346304</v>
      </c>
      <c r="L18" s="20">
        <v>1833.8187036753143</v>
      </c>
      <c r="M18" s="20">
        <v>2229.181132605614</v>
      </c>
      <c r="N18" s="20">
        <v>2633.8844693370188</v>
      </c>
      <c r="O18" s="20">
        <v>3046.8246766054913</v>
      </c>
      <c r="P18" s="20">
        <v>3468.5762482423283</v>
      </c>
      <c r="Q18" s="20">
        <v>3901.0002625964366</v>
      </c>
      <c r="R18" s="20">
        <v>4344.50252261472</v>
      </c>
      <c r="S18" s="20">
        <v>4802.1208293022682</v>
      </c>
      <c r="T18" s="20">
        <v>5271.6902257992951</v>
      </c>
      <c r="U18" s="20">
        <v>5763.8958078956703</v>
      </c>
      <c r="V18" s="20">
        <v>6275.1912121799178</v>
      </c>
      <c r="W18" s="20">
        <v>6807.2262400639693</v>
      </c>
      <c r="X18" s="20">
        <v>7362.4196394246701</v>
      </c>
      <c r="Y18" s="20">
        <v>7951.7437229827583</v>
      </c>
      <c r="Z18" s="20">
        <v>8577.5469746389972</v>
      </c>
      <c r="AA18" s="20">
        <v>9241.6165853239945</v>
      </c>
    </row>
    <row r="19" spans="1:27" x14ac:dyDescent="0.25">
      <c r="A19" s="4"/>
      <c r="B19" s="4"/>
      <c r="C19" s="8" t="s">
        <v>2</v>
      </c>
      <c r="D19" t="s">
        <v>9</v>
      </c>
      <c r="F19" s="9"/>
      <c r="G19" s="9"/>
      <c r="H19" s="20">
        <v>-0.13455091420981552</v>
      </c>
      <c r="I19" s="20">
        <v>-0.12091579174808983</v>
      </c>
      <c r="J19" s="20">
        <v>-0.10728066928636415</v>
      </c>
      <c r="K19" s="20">
        <v>-9.3645546824638465E-2</v>
      </c>
      <c r="L19" s="20">
        <v>-8.001042436291278E-2</v>
      </c>
      <c r="M19" s="20">
        <v>-6.6375301901187109E-2</v>
      </c>
      <c r="N19" s="20">
        <v>-5.2740179439461424E-2</v>
      </c>
      <c r="O19" s="20">
        <v>-3.9105056977735725E-2</v>
      </c>
      <c r="P19" s="20">
        <v>-2.5469934516010054E-2</v>
      </c>
      <c r="Q19" s="20">
        <v>-1.1834812054284369E-2</v>
      </c>
      <c r="R19" s="20">
        <v>1.8003104074413023E-3</v>
      </c>
      <c r="S19" s="20">
        <v>1.5435432869167015E-2</v>
      </c>
      <c r="T19" s="20">
        <v>2.9070555330892672E-2</v>
      </c>
      <c r="U19" s="20">
        <v>4.2705677792618357E-2</v>
      </c>
      <c r="V19" s="20">
        <v>5.634080025434407E-2</v>
      </c>
      <c r="W19" s="20">
        <v>6.9975922716069727E-2</v>
      </c>
      <c r="X19" s="20">
        <v>8.3611045177795412E-2</v>
      </c>
      <c r="Y19" s="20">
        <v>9.7246167639521125E-2</v>
      </c>
      <c r="Z19" s="20">
        <v>0.11088129010124678</v>
      </c>
      <c r="AA19" s="20">
        <v>0.12451641256297247</v>
      </c>
    </row>
    <row r="20" spans="1:27" x14ac:dyDescent="0.25">
      <c r="A20" s="4"/>
      <c r="B20" s="4"/>
      <c r="C20" s="8" t="s">
        <v>12</v>
      </c>
      <c r="D20" t="s">
        <v>9</v>
      </c>
      <c r="F20" s="9"/>
      <c r="G20" s="9"/>
      <c r="H20" s="9">
        <f>-0.1077*0.7653*0.9</f>
        <v>-7.4180528999999995E-2</v>
      </c>
    </row>
    <row r="21" spans="1:27" x14ac:dyDescent="0.25">
      <c r="A21" s="4"/>
      <c r="B21" s="4"/>
      <c r="C21" s="8" t="s">
        <v>10</v>
      </c>
      <c r="D21" t="s">
        <v>11</v>
      </c>
      <c r="F21" s="9"/>
      <c r="G21" s="9"/>
      <c r="H21" s="9">
        <v>5500</v>
      </c>
    </row>
    <row r="22" spans="1:27" x14ac:dyDescent="0.25">
      <c r="A22" s="4"/>
      <c r="B22" s="4"/>
      <c r="C22" s="8" t="s">
        <v>50</v>
      </c>
      <c r="D22">
        <v>1</v>
      </c>
      <c r="E22" t="s">
        <v>52</v>
      </c>
      <c r="F22" s="9"/>
      <c r="G22" s="9"/>
      <c r="H22" s="21">
        <v>0.72747928440055432</v>
      </c>
      <c r="I22" s="20">
        <v>0.73031465602310519</v>
      </c>
      <c r="J22" s="20">
        <v>0.7329914986460857</v>
      </c>
      <c r="K22" s="20">
        <v>0.73577857808386404</v>
      </c>
      <c r="L22" s="20">
        <v>0.7388250284918888</v>
      </c>
      <c r="M22" s="20">
        <v>0.74221932794286161</v>
      </c>
      <c r="N22" s="20">
        <v>0.74601898080104956</v>
      </c>
      <c r="O22" s="20">
        <v>0.75026594819744052</v>
      </c>
      <c r="P22" s="20">
        <v>0.75499580711514669</v>
      </c>
      <c r="Q22" s="20">
        <v>0.76024382386750644</v>
      </c>
      <c r="R22" s="20">
        <v>0.76604800210208746</v>
      </c>
      <c r="S22" s="20">
        <v>0.77245290773198005</v>
      </c>
      <c r="T22" s="20">
        <v>0.77951256392129264</v>
      </c>
      <c r="U22" s="20">
        <v>0.78729322104335853</v>
      </c>
      <c r="V22" s="20">
        <v>0.79587777802328841</v>
      </c>
      <c r="W22" s="20">
        <v>0.80537065470982472</v>
      </c>
      <c r="X22" s="20">
        <v>0.81590521801920257</v>
      </c>
      <c r="Y22" s="20">
        <v>0.82765149643155056</v>
      </c>
      <c r="Z22" s="20">
        <v>0.84082986738775589</v>
      </c>
      <c r="AA22" s="20">
        <v>0.85573008958987384</v>
      </c>
    </row>
    <row r="23" spans="1:27" x14ac:dyDescent="0.25">
      <c r="A23" s="4"/>
      <c r="B23" s="4"/>
      <c r="C23" s="8" t="s">
        <v>51</v>
      </c>
      <c r="D23" t="s">
        <v>9</v>
      </c>
      <c r="E23" t="s">
        <v>53</v>
      </c>
      <c r="F23" s="9"/>
      <c r="G23" s="9"/>
      <c r="H23" s="21">
        <v>-0.13455091420981552</v>
      </c>
      <c r="I23" s="20">
        <v>-0.12091579174808983</v>
      </c>
      <c r="J23" s="20">
        <v>-0.10728066928636415</v>
      </c>
      <c r="K23" s="20">
        <v>-9.3645546824638465E-2</v>
      </c>
      <c r="L23" s="20">
        <v>-8.001042436291278E-2</v>
      </c>
      <c r="M23" s="20">
        <v>-6.6375301901187109E-2</v>
      </c>
      <c r="N23" s="20">
        <v>-5.2740179439461424E-2</v>
      </c>
      <c r="O23" s="20">
        <v>-3.9105056977735725E-2</v>
      </c>
      <c r="P23" s="20">
        <v>-2.5469934516010054E-2</v>
      </c>
      <c r="Q23" s="20">
        <v>-1.1834812054284369E-2</v>
      </c>
      <c r="R23" s="20">
        <v>1.8003104074413023E-3</v>
      </c>
      <c r="S23" s="20">
        <v>1.5435432869167015E-2</v>
      </c>
      <c r="T23" s="20">
        <v>2.9070555330892672E-2</v>
      </c>
      <c r="U23" s="20">
        <v>4.2705677792618357E-2</v>
      </c>
      <c r="V23" s="20">
        <v>5.634080025434407E-2</v>
      </c>
      <c r="W23" s="20">
        <v>6.9975922716069727E-2</v>
      </c>
      <c r="X23" s="20">
        <v>8.3611045177795412E-2</v>
      </c>
      <c r="Y23" s="20">
        <v>9.7246167639521125E-2</v>
      </c>
      <c r="Z23" s="20">
        <v>0.11088129010124678</v>
      </c>
      <c r="AA23" s="20">
        <v>0.12451641256297247</v>
      </c>
    </row>
    <row r="24" spans="1:27" x14ac:dyDescent="0.25">
      <c r="A24" s="4"/>
      <c r="B24" s="4" t="s">
        <v>37</v>
      </c>
      <c r="C24" s="8" t="s">
        <v>13</v>
      </c>
      <c r="D24" t="s">
        <v>9</v>
      </c>
      <c r="F24" s="9">
        <v>0</v>
      </c>
      <c r="G24" s="19">
        <v>0.78649999999999998</v>
      </c>
      <c r="H24" s="9">
        <v>0.33</v>
      </c>
    </row>
    <row r="25" spans="1:27" x14ac:dyDescent="0.25">
      <c r="A25" s="4"/>
      <c r="B25" s="4" t="s">
        <v>38</v>
      </c>
      <c r="C25" s="8" t="s">
        <v>39</v>
      </c>
      <c r="D25" t="s">
        <v>9</v>
      </c>
      <c r="F25" s="9">
        <v>0</v>
      </c>
      <c r="G25" s="19">
        <v>0.78649999999999998</v>
      </c>
      <c r="H25" s="9">
        <v>0.3</v>
      </c>
    </row>
    <row r="26" spans="1:27" x14ac:dyDescent="0.25">
      <c r="A26" s="4"/>
      <c r="B26" s="4"/>
      <c r="C26" s="8" t="s">
        <v>9</v>
      </c>
      <c r="D26" t="s">
        <v>18</v>
      </c>
      <c r="F26" s="9"/>
      <c r="G26" s="9"/>
      <c r="H26" s="9">
        <v>1.76</v>
      </c>
    </row>
    <row r="27" spans="1:27" x14ac:dyDescent="0.25">
      <c r="A27" s="4"/>
      <c r="B27" s="4"/>
      <c r="C27" s="8" t="s">
        <v>40</v>
      </c>
      <c r="D27" t="s">
        <v>41</v>
      </c>
      <c r="F27" s="9">
        <v>2</v>
      </c>
      <c r="G27" s="9">
        <v>2</v>
      </c>
      <c r="H27" s="9">
        <v>2</v>
      </c>
    </row>
    <row r="28" spans="1:27" x14ac:dyDescent="0.25">
      <c r="A28" s="4"/>
      <c r="B28" s="4" t="s">
        <v>14</v>
      </c>
      <c r="C28" s="8" t="s">
        <v>15</v>
      </c>
      <c r="D28" t="s">
        <v>9</v>
      </c>
      <c r="E28" t="s">
        <v>16</v>
      </c>
      <c r="F28" s="9"/>
      <c r="G28" s="9"/>
      <c r="H28" s="9">
        <v>0.15</v>
      </c>
    </row>
    <row r="29" spans="1:27" x14ac:dyDescent="0.25">
      <c r="A29" s="4"/>
      <c r="B29" s="4"/>
      <c r="C29" s="8" t="s">
        <v>17</v>
      </c>
      <c r="D29" t="s">
        <v>18</v>
      </c>
      <c r="F29" s="9"/>
      <c r="G29" s="9"/>
      <c r="H29" s="9">
        <v>1.76</v>
      </c>
    </row>
    <row r="30" spans="1:27" x14ac:dyDescent="0.25">
      <c r="A30" s="4"/>
      <c r="B30" s="4" t="s">
        <v>42</v>
      </c>
      <c r="C30" s="8" t="s">
        <v>27</v>
      </c>
      <c r="D30" t="s">
        <v>23</v>
      </c>
      <c r="H30" s="9">
        <v>5</v>
      </c>
    </row>
    <row r="31" spans="1:27" x14ac:dyDescent="0.25">
      <c r="A31" s="4"/>
      <c r="B31" s="4"/>
      <c r="C31" s="8" t="s">
        <v>47</v>
      </c>
      <c r="D31" t="s">
        <v>23</v>
      </c>
      <c r="H31" s="9">
        <v>5</v>
      </c>
    </row>
    <row r="32" spans="1:27" x14ac:dyDescent="0.25">
      <c r="A32" s="4"/>
      <c r="B32" s="4" t="s">
        <v>43</v>
      </c>
      <c r="C32" s="11" t="s">
        <v>8</v>
      </c>
      <c r="D32" s="12"/>
      <c r="E32" s="12"/>
      <c r="F32" s="12"/>
      <c r="G32" s="12"/>
      <c r="H32" s="14" t="s">
        <v>44</v>
      </c>
    </row>
  </sheetData>
  <conditionalFormatting sqref="B32">
    <cfRule type="cellIs" dxfId="2" priority="1" operator="equal">
      <formula>"class"</formula>
    </cfRule>
  </conditionalFormatting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3FC82-58C0-41F6-AAAD-D757BC4D1503}">
  <sheetPr>
    <tabColor theme="7" tint="0.39997558519241921"/>
  </sheetPr>
  <dimension ref="A1:AA32"/>
  <sheetViews>
    <sheetView tabSelected="1" workbookViewId="0">
      <pane xSplit="3" ySplit="1" topLeftCell="D2" activePane="bottomRight" state="frozen"/>
      <selection activeCell="A2" sqref="A2"/>
      <selection pane="topRight" activeCell="A2" sqref="A2"/>
      <selection pane="bottomLeft" activeCell="A2" sqref="A2"/>
      <selection pane="bottomRight" activeCell="A5" sqref="A5"/>
    </sheetView>
  </sheetViews>
  <sheetFormatPr defaultRowHeight="15" x14ac:dyDescent="0.25"/>
  <cols>
    <col min="1" max="1" width="14.42578125" style="18" customWidth="1"/>
    <col min="2" max="2" width="12.7109375" customWidth="1"/>
    <col min="3" max="3" width="15.7109375" customWidth="1"/>
    <col min="4" max="4" width="11.140625" customWidth="1"/>
    <col min="5" max="5" width="16.7109375" customWidth="1"/>
    <col min="6" max="8" width="10" customWidth="1"/>
    <col min="9" max="27" width="8.5703125" customWidth="1"/>
  </cols>
  <sheetData>
    <row r="1" spans="1:27" x14ac:dyDescent="0.25">
      <c r="A1" s="1"/>
      <c r="B1" s="3"/>
      <c r="C1" s="2"/>
      <c r="D1" s="3" t="s">
        <v>0</v>
      </c>
      <c r="E1" s="3" t="s">
        <v>1</v>
      </c>
      <c r="F1" s="3" t="s">
        <v>2</v>
      </c>
      <c r="G1" s="3" t="s">
        <v>3</v>
      </c>
      <c r="H1" s="3" t="s">
        <v>4</v>
      </c>
    </row>
    <row r="2" spans="1:27" x14ac:dyDescent="0.25">
      <c r="A2" s="4" t="s">
        <v>5</v>
      </c>
      <c r="B2" s="4"/>
      <c r="C2" s="5"/>
      <c r="D2" s="6"/>
      <c r="E2" s="6"/>
      <c r="F2" s="6"/>
      <c r="G2" s="6"/>
      <c r="H2" s="7" t="s">
        <v>6</v>
      </c>
    </row>
    <row r="3" spans="1:27" x14ac:dyDescent="0.25">
      <c r="A3" s="4" t="s">
        <v>7</v>
      </c>
      <c r="B3" s="8"/>
      <c r="C3" s="8"/>
      <c r="F3" s="9"/>
      <c r="G3" s="9"/>
      <c r="H3" s="10" t="s">
        <v>20</v>
      </c>
    </row>
    <row r="4" spans="1:27" x14ac:dyDescent="0.25">
      <c r="A4" s="11" t="s">
        <v>8</v>
      </c>
      <c r="B4" s="12"/>
      <c r="C4" s="12"/>
      <c r="D4" s="13"/>
      <c r="E4" s="13"/>
      <c r="F4" s="13"/>
      <c r="G4" s="13"/>
      <c r="H4" s="14" t="s">
        <v>19</v>
      </c>
    </row>
    <row r="5" spans="1:27" x14ac:dyDescent="0.25">
      <c r="A5" s="4" t="s">
        <v>19</v>
      </c>
      <c r="B5" s="11" t="s">
        <v>8</v>
      </c>
      <c r="C5" s="12"/>
      <c r="D5" s="12"/>
      <c r="E5" s="12"/>
      <c r="F5" s="15"/>
      <c r="G5" s="15"/>
      <c r="H5" s="16" t="s">
        <v>19</v>
      </c>
    </row>
    <row r="6" spans="1:27" x14ac:dyDescent="0.25">
      <c r="A6" s="4"/>
      <c r="B6" s="4" t="s">
        <v>22</v>
      </c>
      <c r="C6" s="8" t="s">
        <v>24</v>
      </c>
      <c r="D6" t="s">
        <v>25</v>
      </c>
      <c r="H6" s="20">
        <v>9.0027518120193726</v>
      </c>
      <c r="I6" s="20">
        <v>7.4837086657786669</v>
      </c>
      <c r="J6" s="20">
        <v>6.1661648844716197</v>
      </c>
      <c r="K6" s="20">
        <v>5.0119675293419874</v>
      </c>
      <c r="L6" s="20">
        <v>3.9942530639547602</v>
      </c>
      <c r="M6" s="20">
        <v>3.0935198503250363</v>
      </c>
      <c r="N6" s="20">
        <v>2.2952615853749356</v>
      </c>
      <c r="O6" s="20">
        <v>1.5884393312924721</v>
      </c>
      <c r="P6" s="20">
        <v>0.96456435506069749</v>
      </c>
      <c r="Q6" s="20">
        <v>0.41703711838763402</v>
      </c>
      <c r="R6" s="20">
        <v>-5.9249735483467986E-2</v>
      </c>
      <c r="S6" s="20">
        <v>-0.46824689415483367</v>
      </c>
      <c r="T6" s="20">
        <v>-0.81314427726085636</v>
      </c>
      <c r="U6" s="20">
        <v>-1.096169778171207</v>
      </c>
      <c r="V6" s="20">
        <v>-1.3189730928550516</v>
      </c>
      <c r="W6" s="20">
        <v>-1.48269101948835</v>
      </c>
      <c r="X6" s="20">
        <v>-1.5879401762661982</v>
      </c>
      <c r="Y6" s="20">
        <v>-1.6348636642491372</v>
      </c>
      <c r="Z6" s="20">
        <v>-1.6231580961415291</v>
      </c>
      <c r="AA6" s="20">
        <v>-1.5520359927012757</v>
      </c>
    </row>
    <row r="7" spans="1:27" x14ac:dyDescent="0.25">
      <c r="A7" s="4"/>
      <c r="B7" s="4"/>
      <c r="C7" s="8" t="s">
        <v>26</v>
      </c>
      <c r="D7" t="s">
        <v>9</v>
      </c>
      <c r="H7" s="20">
        <v>-0.13454832900683225</v>
      </c>
      <c r="I7" s="20">
        <v>-0.12091256605667783</v>
      </c>
      <c r="J7" s="20">
        <v>-0.10727680310652341</v>
      </c>
      <c r="K7" s="20">
        <v>-9.3641040156368982E-2</v>
      </c>
      <c r="L7" s="20">
        <v>-8.0005277206214559E-2</v>
      </c>
      <c r="M7" s="20">
        <v>-6.6369514256060136E-2</v>
      </c>
      <c r="N7" s="20">
        <v>-5.2733751305905727E-2</v>
      </c>
      <c r="O7" s="20">
        <v>-3.9097988355751304E-2</v>
      </c>
      <c r="P7" s="20">
        <v>-2.5462225405596881E-2</v>
      </c>
      <c r="Q7" s="20">
        <v>-1.1826462455442457E-2</v>
      </c>
      <c r="R7" s="20">
        <v>1.8093004947119795E-3</v>
      </c>
      <c r="S7" s="20">
        <v>1.5445063444866375E-2</v>
      </c>
      <c r="T7" s="20">
        <v>2.9080826395020798E-2</v>
      </c>
      <c r="U7" s="20">
        <v>4.2716589345175249E-2</v>
      </c>
      <c r="V7" s="20">
        <v>5.6352352295329644E-2</v>
      </c>
      <c r="W7" s="20">
        <v>6.9988115245484067E-2</v>
      </c>
      <c r="X7" s="20">
        <v>8.362387819563849E-2</v>
      </c>
      <c r="Y7" s="20">
        <v>9.7259641145792886E-2</v>
      </c>
      <c r="Z7" s="20">
        <v>0.11089540409594734</v>
      </c>
      <c r="AA7" s="20">
        <v>0.12453116704610179</v>
      </c>
    </row>
    <row r="8" spans="1:27" x14ac:dyDescent="0.25">
      <c r="A8" s="4"/>
      <c r="B8" s="4"/>
      <c r="C8" s="8" t="s">
        <v>27</v>
      </c>
      <c r="D8" t="s">
        <v>25</v>
      </c>
      <c r="H8" s="20">
        <v>0</v>
      </c>
      <c r="I8" s="20">
        <v>0</v>
      </c>
      <c r="J8" s="20">
        <v>0</v>
      </c>
      <c r="K8" s="20">
        <v>0</v>
      </c>
      <c r="L8" s="20">
        <v>0</v>
      </c>
      <c r="M8" s="20">
        <v>0</v>
      </c>
      <c r="N8" s="20">
        <v>0</v>
      </c>
      <c r="O8" s="20">
        <v>0</v>
      </c>
      <c r="P8" s="20">
        <v>0</v>
      </c>
      <c r="Q8" s="20">
        <v>0</v>
      </c>
      <c r="R8" s="20">
        <v>0</v>
      </c>
      <c r="S8" s="20">
        <v>0</v>
      </c>
      <c r="T8" s="20">
        <v>0</v>
      </c>
      <c r="U8" s="20">
        <v>0</v>
      </c>
      <c r="V8" s="20">
        <v>0</v>
      </c>
      <c r="W8" s="20">
        <v>0</v>
      </c>
      <c r="X8" s="20">
        <v>0</v>
      </c>
      <c r="Y8" s="20">
        <v>0</v>
      </c>
      <c r="Z8" s="20">
        <v>0</v>
      </c>
      <c r="AA8" s="20">
        <v>0</v>
      </c>
    </row>
    <row r="9" spans="1:27" x14ac:dyDescent="0.25">
      <c r="A9" s="4"/>
      <c r="B9" s="4"/>
      <c r="C9" s="8" t="s">
        <v>46</v>
      </c>
      <c r="D9" t="s">
        <v>9</v>
      </c>
      <c r="H9" s="20">
        <v>-0.13454832900683225</v>
      </c>
      <c r="I9" s="20">
        <v>-0.12091256605667783</v>
      </c>
      <c r="J9" s="20">
        <v>-0.10727680310652341</v>
      </c>
      <c r="K9" s="20">
        <v>-9.3641040156368982E-2</v>
      </c>
      <c r="L9" s="20">
        <v>-8.0005277206214559E-2</v>
      </c>
      <c r="M9" s="20">
        <v>-6.6369514256060136E-2</v>
      </c>
      <c r="N9" s="20">
        <v>-5.2733751305905727E-2</v>
      </c>
      <c r="O9" s="20">
        <v>-3.9097988355751304E-2</v>
      </c>
      <c r="P9" s="20">
        <v>-2.5462225405596881E-2</v>
      </c>
      <c r="Q9" s="20">
        <v>-1.1826462455442457E-2</v>
      </c>
      <c r="R9" s="20">
        <v>1.8093004947119795E-3</v>
      </c>
      <c r="S9" s="20">
        <v>1.5445063444866375E-2</v>
      </c>
      <c r="T9" s="20">
        <v>2.9080826395020798E-2</v>
      </c>
      <c r="U9" s="20">
        <v>4.2716589345175249E-2</v>
      </c>
      <c r="V9" s="20">
        <v>5.6352352295329644E-2</v>
      </c>
      <c r="W9" s="20">
        <v>6.9988115245484067E-2</v>
      </c>
      <c r="X9" s="20">
        <v>8.362387819563849E-2</v>
      </c>
      <c r="Y9" s="20">
        <v>9.7259641145792886E-2</v>
      </c>
      <c r="Z9" s="20">
        <v>0.11089540409594734</v>
      </c>
      <c r="AA9" s="20">
        <v>0.12453116704610179</v>
      </c>
    </row>
    <row r="10" spans="1:27" x14ac:dyDescent="0.25">
      <c r="A10" s="4"/>
      <c r="B10" s="4"/>
      <c r="C10" s="8" t="s">
        <v>29</v>
      </c>
      <c r="D10" t="s">
        <v>25</v>
      </c>
      <c r="H10" s="20">
        <v>-0.9419735028831302</v>
      </c>
      <c r="I10" s="20">
        <v>-0.44626713182683336</v>
      </c>
      <c r="J10" s="20">
        <v>-6.7223481271746766E-2</v>
      </c>
      <c r="K10" s="20">
        <v>0.21065713716434389</v>
      </c>
      <c r="L10" s="20">
        <v>0.39868372896987525</v>
      </c>
      <c r="M10" s="20">
        <v>0.50508478911011878</v>
      </c>
      <c r="N10" s="20">
        <v>0.53576887909494397</v>
      </c>
      <c r="O10" s="20">
        <v>0.49486736997777431</v>
      </c>
      <c r="P10" s="20">
        <v>0.38507602812021718</v>
      </c>
      <c r="Q10" s="20">
        <v>0.20789217249850711</v>
      </c>
      <c r="R10" s="20">
        <v>-3.6259431762565894E-2</v>
      </c>
      <c r="S10" s="20">
        <v>-0.34791388821016589</v>
      </c>
      <c r="T10" s="20">
        <v>-0.72831796723088804</v>
      </c>
      <c r="U10" s="20">
        <v>-1.1797938368418528</v>
      </c>
      <c r="V10" s="20">
        <v>-1.7054911906411869</v>
      </c>
      <c r="W10" s="20">
        <v>-2.3094360147467321</v>
      </c>
      <c r="X10" s="20">
        <v>-2.9967005781765437</v>
      </c>
      <c r="Y10" s="20">
        <v>-3.7735136487555345</v>
      </c>
      <c r="Z10" s="20">
        <v>-4.6474565946748756</v>
      </c>
      <c r="AA10" s="20">
        <v>-5.6277283018281432</v>
      </c>
    </row>
    <row r="11" spans="1:27" x14ac:dyDescent="0.25">
      <c r="A11" s="4"/>
      <c r="B11" s="4"/>
      <c r="C11" s="8" t="s">
        <v>28</v>
      </c>
      <c r="D11" t="s">
        <v>9</v>
      </c>
      <c r="H11" s="20">
        <v>-0.13454832900683225</v>
      </c>
      <c r="I11" s="20">
        <v>-0.12091256605667783</v>
      </c>
      <c r="J11" s="20">
        <v>-0.10727680310652341</v>
      </c>
      <c r="K11" s="20">
        <v>-9.3641040156368982E-2</v>
      </c>
      <c r="L11" s="20">
        <v>-8.0005277206214559E-2</v>
      </c>
      <c r="M11" s="20">
        <v>-6.6369514256060136E-2</v>
      </c>
      <c r="N11" s="20">
        <v>-5.2733751305905727E-2</v>
      </c>
      <c r="O11" s="20">
        <v>-3.9097988355751304E-2</v>
      </c>
      <c r="P11" s="20">
        <v>-2.5462225405596881E-2</v>
      </c>
      <c r="Q11" s="20">
        <v>-1.1826462455442457E-2</v>
      </c>
      <c r="R11" s="20">
        <v>1.8093004947119795E-3</v>
      </c>
      <c r="S11" s="20">
        <v>1.5445063444866375E-2</v>
      </c>
      <c r="T11" s="20">
        <v>2.9080826395020798E-2</v>
      </c>
      <c r="U11" s="20">
        <v>4.2716589345175249E-2</v>
      </c>
      <c r="V11" s="20">
        <v>5.6352352295329644E-2</v>
      </c>
      <c r="W11" s="20">
        <v>6.9988115245484067E-2</v>
      </c>
      <c r="X11" s="20">
        <v>8.362387819563849E-2</v>
      </c>
      <c r="Y11" s="20">
        <v>9.7259641145792886E-2</v>
      </c>
      <c r="Z11" s="20">
        <v>0.11089540409594734</v>
      </c>
      <c r="AA11" s="20">
        <v>0.12453116704610179</v>
      </c>
    </row>
    <row r="12" spans="1:27" x14ac:dyDescent="0.25">
      <c r="A12" s="4"/>
      <c r="B12" s="4"/>
      <c r="C12" s="8" t="s">
        <v>30</v>
      </c>
      <c r="D12" t="s">
        <v>25</v>
      </c>
      <c r="H12" s="20">
        <v>1.8278584628777302E-2</v>
      </c>
      <c r="I12" s="20">
        <v>1.5731292091205305E-2</v>
      </c>
      <c r="J12" s="20">
        <v>1.3405769460076643E-2</v>
      </c>
      <c r="K12" s="20">
        <v>1.1264286120046775E-2</v>
      </c>
      <c r="L12" s="20">
        <v>9.2797162513118207E-3</v>
      </c>
      <c r="M12" s="20">
        <v>7.432060375753744E-3</v>
      </c>
      <c r="N12" s="20">
        <v>5.7062895205631054E-3</v>
      </c>
      <c r="O12" s="20">
        <v>4.0909074462384693E-3</v>
      </c>
      <c r="P12" s="20">
        <v>2.5770888262733596E-3</v>
      </c>
      <c r="Q12" s="20">
        <v>1.158037078685763E-3</v>
      </c>
      <c r="R12" s="20">
        <v>-1.7139033545489522E-4</v>
      </c>
      <c r="S12" s="20">
        <v>-1.4150159579205809E-3</v>
      </c>
      <c r="T12" s="20">
        <v>-2.5757878020040694E-3</v>
      </c>
      <c r="U12" s="20">
        <v>-3.6554718810090205E-3</v>
      </c>
      <c r="V12" s="20">
        <v>-4.6551059809802455E-3</v>
      </c>
      <c r="W12" s="20">
        <v>-5.575062668099747E-3</v>
      </c>
      <c r="X12" s="20">
        <v>-6.4150153833560306E-3</v>
      </c>
      <c r="Y12" s="20">
        <v>-7.1739929430060688E-3</v>
      </c>
      <c r="Z12" s="20">
        <v>-7.8503867216913829E-3</v>
      </c>
      <c r="AA12" s="20">
        <v>-8.4419316372193066E-3</v>
      </c>
    </row>
    <row r="13" spans="1:27" x14ac:dyDescent="0.25">
      <c r="A13" s="4"/>
      <c r="B13" s="4"/>
      <c r="C13" s="8" t="s">
        <v>32</v>
      </c>
      <c r="D13" t="s">
        <v>9</v>
      </c>
      <c r="H13" s="20">
        <v>-0.13454832900683225</v>
      </c>
      <c r="I13" s="20">
        <v>-0.12091256605667783</v>
      </c>
      <c r="J13" s="20">
        <v>-0.10727680310652341</v>
      </c>
      <c r="K13" s="20">
        <v>-9.3641040156368982E-2</v>
      </c>
      <c r="L13" s="20">
        <v>-8.0005277206214559E-2</v>
      </c>
      <c r="M13" s="20">
        <v>-6.6369514256060136E-2</v>
      </c>
      <c r="N13" s="20">
        <v>-5.2733751305905727E-2</v>
      </c>
      <c r="O13" s="20">
        <v>-3.9097988355751304E-2</v>
      </c>
      <c r="P13" s="20">
        <v>-2.5462225405596881E-2</v>
      </c>
      <c r="Q13" s="20">
        <v>-1.1826462455442457E-2</v>
      </c>
      <c r="R13" s="20">
        <v>1.8093004947119795E-3</v>
      </c>
      <c r="S13" s="20">
        <v>1.5445063444866375E-2</v>
      </c>
      <c r="T13" s="20">
        <v>2.9080826395020798E-2</v>
      </c>
      <c r="U13" s="20">
        <v>4.2716589345175249E-2</v>
      </c>
      <c r="V13" s="20">
        <v>5.6352352295329644E-2</v>
      </c>
      <c r="W13" s="20">
        <v>6.9988115245484067E-2</v>
      </c>
      <c r="X13" s="20">
        <v>8.362387819563849E-2</v>
      </c>
      <c r="Y13" s="20">
        <v>9.7259641145792886E-2</v>
      </c>
      <c r="Z13" s="20">
        <v>0.11089540409594734</v>
      </c>
      <c r="AA13" s="20">
        <v>0.12453116704610179</v>
      </c>
    </row>
    <row r="14" spans="1:27" x14ac:dyDescent="0.25">
      <c r="A14" s="4"/>
      <c r="B14" s="4"/>
      <c r="C14" s="8" t="s">
        <v>31</v>
      </c>
      <c r="D14" t="s">
        <v>9</v>
      </c>
      <c r="H14" s="20">
        <v>-2.3670503740674809E-2</v>
      </c>
      <c r="I14" s="20">
        <v>-1.7718737732321712E-2</v>
      </c>
      <c r="J14" s="20">
        <v>-1.274584322025335E-2</v>
      </c>
      <c r="K14" s="20">
        <v>-8.6504281373199557E-3</v>
      </c>
      <c r="L14" s="20">
        <v>-5.3577240560185478E-3</v>
      </c>
      <c r="M14" s="20">
        <v>-2.8118221667859963E-3</v>
      </c>
      <c r="N14" s="20">
        <v>-9.7067723822867201E-4</v>
      </c>
      <c r="O14" s="20">
        <v>1.9752917990869352E-4</v>
      </c>
      <c r="P14" s="20">
        <v>7.1631157472536481E-4</v>
      </c>
      <c r="Q14" s="20">
        <v>6.0251236146418067E-4</v>
      </c>
      <c r="R14" s="20">
        <v>-1.3315337357958977E-4</v>
      </c>
      <c r="S14" s="20">
        <v>-1.4852682987174157E-3</v>
      </c>
      <c r="T14" s="20">
        <v>-3.4516660509484455E-3</v>
      </c>
      <c r="U14" s="20">
        <v>-6.0367046743590985E-3</v>
      </c>
      <c r="V14" s="20">
        <v>-9.248902734166984E-3</v>
      </c>
      <c r="W14" s="20">
        <v>-1.3101206035508529E-2</v>
      </c>
      <c r="X14" s="20">
        <v>-1.7612139918477387E-2</v>
      </c>
      <c r="Y14" s="20">
        <v>-2.2806289267117998E-2</v>
      </c>
      <c r="Z14" s="20">
        <v>-2.8715345902124486E-2</v>
      </c>
      <c r="AA14" s="20">
        <v>-3.5379491271071095E-2</v>
      </c>
    </row>
    <row r="15" spans="1:27" x14ac:dyDescent="0.25">
      <c r="A15" s="4"/>
      <c r="B15" s="4"/>
      <c r="C15" s="8" t="s">
        <v>45</v>
      </c>
      <c r="D15" t="s">
        <v>9</v>
      </c>
      <c r="H15" s="20">
        <v>-0.13454832900683225</v>
      </c>
      <c r="I15" s="20">
        <v>-0.12091256605667783</v>
      </c>
      <c r="J15" s="20">
        <v>-0.10727680310652341</v>
      </c>
      <c r="K15" s="20">
        <v>-9.3641040156368982E-2</v>
      </c>
      <c r="L15" s="20">
        <v>-8.0005277206214559E-2</v>
      </c>
      <c r="M15" s="20">
        <v>-6.6369514256060136E-2</v>
      </c>
      <c r="N15" s="20">
        <v>-5.2733751305905727E-2</v>
      </c>
      <c r="O15" s="20">
        <v>-3.9097988355751304E-2</v>
      </c>
      <c r="P15" s="20">
        <v>-2.5462225405596881E-2</v>
      </c>
      <c r="Q15" s="20">
        <v>-1.1826462455442457E-2</v>
      </c>
      <c r="R15" s="20">
        <v>1.8093004947119795E-3</v>
      </c>
      <c r="S15" s="20">
        <v>1.5445063444866375E-2</v>
      </c>
      <c r="T15" s="20">
        <v>2.9080826395020798E-2</v>
      </c>
      <c r="U15" s="20">
        <v>4.2716589345175249E-2</v>
      </c>
      <c r="V15" s="20">
        <v>5.6352352295329644E-2</v>
      </c>
      <c r="W15" s="20">
        <v>6.9988115245484067E-2</v>
      </c>
      <c r="X15" s="20">
        <v>8.362387819563849E-2</v>
      </c>
      <c r="Y15" s="20">
        <v>9.7259641145792886E-2</v>
      </c>
      <c r="Z15" s="20">
        <v>0.11089540409594734</v>
      </c>
      <c r="AA15" s="20">
        <v>0.12453116704610179</v>
      </c>
    </row>
    <row r="16" spans="1:27" x14ac:dyDescent="0.25">
      <c r="A16" s="4"/>
      <c r="B16" s="4"/>
      <c r="C16" s="8" t="s">
        <v>34</v>
      </c>
      <c r="D16" t="s">
        <v>35</v>
      </c>
      <c r="F16" s="17"/>
      <c r="G16" s="17"/>
      <c r="H16" s="17">
        <v>1E-3</v>
      </c>
    </row>
    <row r="17" spans="1:27" x14ac:dyDescent="0.25">
      <c r="A17" s="4"/>
      <c r="B17" s="4"/>
      <c r="C17" s="8" t="s">
        <v>36</v>
      </c>
      <c r="D17" t="s">
        <v>35</v>
      </c>
      <c r="F17" s="17"/>
      <c r="G17" s="17"/>
      <c r="H17" s="17">
        <v>1E-3</v>
      </c>
    </row>
    <row r="18" spans="1:27" x14ac:dyDescent="0.25">
      <c r="A18" s="4"/>
      <c r="B18" s="4" t="s">
        <v>33</v>
      </c>
      <c r="C18" s="8" t="s">
        <v>48</v>
      </c>
      <c r="D18" t="s">
        <v>49</v>
      </c>
      <c r="F18" s="9"/>
      <c r="G18" s="9"/>
      <c r="H18" s="20">
        <v>290.12850829316903</v>
      </c>
      <c r="I18" s="20">
        <v>671.1568911393407</v>
      </c>
      <c r="J18" s="20">
        <v>1055.1267726782698</v>
      </c>
      <c r="K18" s="20">
        <v>1442.6001695346304</v>
      </c>
      <c r="L18" s="20">
        <v>1833.8187036753143</v>
      </c>
      <c r="M18" s="20">
        <v>2229.181132605614</v>
      </c>
      <c r="N18" s="20">
        <v>2633.8844693370188</v>
      </c>
      <c r="O18" s="20">
        <v>3046.8246766054913</v>
      </c>
      <c r="P18" s="20">
        <v>3468.5762482423283</v>
      </c>
      <c r="Q18" s="20">
        <v>3901.0002625964366</v>
      </c>
      <c r="R18" s="20">
        <v>4344.50252261472</v>
      </c>
      <c r="S18" s="20">
        <v>4802.1208293022682</v>
      </c>
      <c r="T18" s="20">
        <v>5271.6902257992951</v>
      </c>
      <c r="U18" s="20">
        <v>5763.8958078956703</v>
      </c>
      <c r="V18" s="20">
        <v>6275.1912121799178</v>
      </c>
      <c r="W18" s="20">
        <v>6807.2262400639693</v>
      </c>
      <c r="X18" s="20">
        <v>7362.4196394246701</v>
      </c>
      <c r="Y18" s="20">
        <v>7951.7437229827583</v>
      </c>
      <c r="Z18" s="20">
        <v>8577.5469746389972</v>
      </c>
      <c r="AA18" s="20">
        <v>9241.6165853239945</v>
      </c>
    </row>
    <row r="19" spans="1:27" x14ac:dyDescent="0.25">
      <c r="A19" s="4"/>
      <c r="B19" s="4"/>
      <c r="C19" s="8" t="s">
        <v>2</v>
      </c>
      <c r="D19" t="s">
        <v>9</v>
      </c>
      <c r="F19" s="9"/>
      <c r="G19" s="9"/>
      <c r="H19" s="20">
        <v>-0.13455091420981552</v>
      </c>
      <c r="I19" s="20">
        <v>-0.12091579174808983</v>
      </c>
      <c r="J19" s="20">
        <v>-0.10728066928636415</v>
      </c>
      <c r="K19" s="20">
        <v>-9.3645546824638465E-2</v>
      </c>
      <c r="L19" s="20">
        <v>-8.001042436291278E-2</v>
      </c>
      <c r="M19" s="20">
        <v>-6.6375301901187109E-2</v>
      </c>
      <c r="N19" s="20">
        <v>-5.2740179439461424E-2</v>
      </c>
      <c r="O19" s="20">
        <v>-3.9105056977735725E-2</v>
      </c>
      <c r="P19" s="20">
        <v>-2.5469934516010054E-2</v>
      </c>
      <c r="Q19" s="20">
        <v>-1.1834812054284369E-2</v>
      </c>
      <c r="R19" s="20">
        <v>1.8003104074413023E-3</v>
      </c>
      <c r="S19" s="20">
        <v>1.5435432869167015E-2</v>
      </c>
      <c r="T19" s="20">
        <v>2.9070555330892672E-2</v>
      </c>
      <c r="U19" s="20">
        <v>4.2705677792618357E-2</v>
      </c>
      <c r="V19" s="20">
        <v>5.634080025434407E-2</v>
      </c>
      <c r="W19" s="20">
        <v>6.9975922716069727E-2</v>
      </c>
      <c r="X19" s="20">
        <v>8.3611045177795412E-2</v>
      </c>
      <c r="Y19" s="20">
        <v>9.7246167639521125E-2</v>
      </c>
      <c r="Z19" s="20">
        <v>0.11088129010124678</v>
      </c>
      <c r="AA19" s="20">
        <v>0.12451641256297247</v>
      </c>
    </row>
    <row r="20" spans="1:27" x14ac:dyDescent="0.25">
      <c r="A20" s="4"/>
      <c r="B20" s="4"/>
      <c r="C20" s="8" t="s">
        <v>12</v>
      </c>
      <c r="D20" t="s">
        <v>9</v>
      </c>
      <c r="F20" s="9"/>
      <c r="G20" s="9"/>
      <c r="H20" s="9">
        <f>-0.1077*0.7653*0.9</f>
        <v>-7.4180528999999995E-2</v>
      </c>
    </row>
    <row r="21" spans="1:27" x14ac:dyDescent="0.25">
      <c r="A21" s="4"/>
      <c r="B21" s="4"/>
      <c r="C21" s="8" t="s">
        <v>10</v>
      </c>
      <c r="D21" t="s">
        <v>11</v>
      </c>
      <c r="F21" s="9"/>
      <c r="G21" s="9"/>
      <c r="H21" s="9">
        <v>5500</v>
      </c>
    </row>
    <row r="22" spans="1:27" x14ac:dyDescent="0.25">
      <c r="A22" s="4"/>
      <c r="B22" s="4"/>
      <c r="C22" s="8" t="s">
        <v>50</v>
      </c>
      <c r="D22">
        <v>1</v>
      </c>
      <c r="E22" t="s">
        <v>52</v>
      </c>
      <c r="F22" s="9"/>
      <c r="G22" s="9"/>
      <c r="H22" s="21">
        <v>0.72747928440055432</v>
      </c>
      <c r="I22" s="20">
        <v>0.73031465602310519</v>
      </c>
      <c r="J22" s="20">
        <v>0.7329914986460857</v>
      </c>
      <c r="K22" s="20">
        <v>0.73577857808386404</v>
      </c>
      <c r="L22" s="20">
        <v>0.7388250284918888</v>
      </c>
      <c r="M22" s="20">
        <v>0.74221932794286161</v>
      </c>
      <c r="N22" s="20">
        <v>0.74601898080104956</v>
      </c>
      <c r="O22" s="20">
        <v>0.75026594819744052</v>
      </c>
      <c r="P22" s="20">
        <v>0.75499580711514669</v>
      </c>
      <c r="Q22" s="20">
        <v>0.76024382386750644</v>
      </c>
      <c r="R22" s="20">
        <v>0.76604800210208746</v>
      </c>
      <c r="S22" s="20">
        <v>0.77245290773198005</v>
      </c>
      <c r="T22" s="20">
        <v>0.77951256392129264</v>
      </c>
      <c r="U22" s="20">
        <v>0.78729322104335853</v>
      </c>
      <c r="V22" s="20">
        <v>0.79587777802328841</v>
      </c>
      <c r="W22" s="20">
        <v>0.80537065470982472</v>
      </c>
      <c r="X22" s="20">
        <v>0.81590521801920257</v>
      </c>
      <c r="Y22" s="20">
        <v>0.82765149643155056</v>
      </c>
      <c r="Z22" s="20">
        <v>0.84082986738775589</v>
      </c>
      <c r="AA22" s="20">
        <v>0.85573008958987384</v>
      </c>
    </row>
    <row r="23" spans="1:27" x14ac:dyDescent="0.25">
      <c r="A23" s="4"/>
      <c r="B23" s="4"/>
      <c r="C23" s="8" t="s">
        <v>51</v>
      </c>
      <c r="D23" t="s">
        <v>9</v>
      </c>
      <c r="E23" t="s">
        <v>53</v>
      </c>
      <c r="F23" s="9"/>
      <c r="G23" s="9"/>
      <c r="H23" s="21">
        <v>-0.13455091420981552</v>
      </c>
      <c r="I23" s="20">
        <v>-0.12091579174808983</v>
      </c>
      <c r="J23" s="20">
        <v>-0.10728066928636415</v>
      </c>
      <c r="K23" s="20">
        <v>-9.3645546824638465E-2</v>
      </c>
      <c r="L23" s="20">
        <v>-8.001042436291278E-2</v>
      </c>
      <c r="M23" s="20">
        <v>-6.6375301901187109E-2</v>
      </c>
      <c r="N23" s="20">
        <v>-5.2740179439461424E-2</v>
      </c>
      <c r="O23" s="20">
        <v>-3.9105056977735725E-2</v>
      </c>
      <c r="P23" s="20">
        <v>-2.5469934516010054E-2</v>
      </c>
      <c r="Q23" s="20">
        <v>-1.1834812054284369E-2</v>
      </c>
      <c r="R23" s="20">
        <v>1.8003104074413023E-3</v>
      </c>
      <c r="S23" s="20">
        <v>1.5435432869167015E-2</v>
      </c>
      <c r="T23" s="20">
        <v>2.9070555330892672E-2</v>
      </c>
      <c r="U23" s="20">
        <v>4.2705677792618357E-2</v>
      </c>
      <c r="V23" s="20">
        <v>5.634080025434407E-2</v>
      </c>
      <c r="W23" s="20">
        <v>6.9975922716069727E-2</v>
      </c>
      <c r="X23" s="20">
        <v>8.3611045177795412E-2</v>
      </c>
      <c r="Y23" s="20">
        <v>9.7246167639521125E-2</v>
      </c>
      <c r="Z23" s="20">
        <v>0.11088129010124678</v>
      </c>
      <c r="AA23" s="20">
        <v>0.12451641256297247</v>
      </c>
    </row>
    <row r="24" spans="1:27" x14ac:dyDescent="0.25">
      <c r="A24" s="4"/>
      <c r="B24" s="4" t="s">
        <v>37</v>
      </c>
      <c r="C24" s="8" t="s">
        <v>13</v>
      </c>
      <c r="D24" t="s">
        <v>9</v>
      </c>
      <c r="F24" s="9">
        <v>0</v>
      </c>
      <c r="G24" s="19">
        <v>0.78649999999999998</v>
      </c>
      <c r="H24" s="9">
        <v>0.33</v>
      </c>
    </row>
    <row r="25" spans="1:27" x14ac:dyDescent="0.25">
      <c r="A25" s="4"/>
      <c r="B25" s="4" t="s">
        <v>38</v>
      </c>
      <c r="C25" s="8" t="s">
        <v>39</v>
      </c>
      <c r="D25" t="s">
        <v>9</v>
      </c>
      <c r="F25" s="9">
        <v>0</v>
      </c>
      <c r="G25" s="19">
        <v>0.78649999999999998</v>
      </c>
      <c r="H25" s="9">
        <v>0.3</v>
      </c>
    </row>
    <row r="26" spans="1:27" x14ac:dyDescent="0.25">
      <c r="A26" s="4"/>
      <c r="B26" s="4"/>
      <c r="C26" s="8" t="s">
        <v>9</v>
      </c>
      <c r="D26" t="s">
        <v>18</v>
      </c>
      <c r="F26" s="9"/>
      <c r="G26" s="9"/>
      <c r="H26" s="9">
        <v>1.76</v>
      </c>
    </row>
    <row r="27" spans="1:27" x14ac:dyDescent="0.25">
      <c r="A27" s="4"/>
      <c r="B27" s="4"/>
      <c r="C27" s="8" t="s">
        <v>40</v>
      </c>
      <c r="D27" t="s">
        <v>41</v>
      </c>
      <c r="F27" s="9">
        <v>2</v>
      </c>
      <c r="G27" s="9">
        <v>2</v>
      </c>
      <c r="H27" s="9">
        <v>2</v>
      </c>
    </row>
    <row r="28" spans="1:27" x14ac:dyDescent="0.25">
      <c r="A28" s="4"/>
      <c r="B28" s="4" t="s">
        <v>14</v>
      </c>
      <c r="C28" s="8" t="s">
        <v>15</v>
      </c>
      <c r="D28" t="s">
        <v>9</v>
      </c>
      <c r="E28" t="s">
        <v>16</v>
      </c>
      <c r="F28" s="9"/>
      <c r="G28" s="9"/>
      <c r="H28" s="9">
        <v>0.15</v>
      </c>
    </row>
    <row r="29" spans="1:27" x14ac:dyDescent="0.25">
      <c r="A29" s="4"/>
      <c r="B29" s="4"/>
      <c r="C29" s="8" t="s">
        <v>17</v>
      </c>
      <c r="D29" t="s">
        <v>18</v>
      </c>
      <c r="F29" s="9"/>
      <c r="G29" s="9"/>
      <c r="H29" s="9">
        <v>1.76</v>
      </c>
    </row>
    <row r="30" spans="1:27" x14ac:dyDescent="0.25">
      <c r="A30" s="4"/>
      <c r="B30" s="4" t="s">
        <v>42</v>
      </c>
      <c r="C30" s="8" t="s">
        <v>27</v>
      </c>
      <c r="D30" t="s">
        <v>23</v>
      </c>
      <c r="H30" s="9">
        <v>5</v>
      </c>
    </row>
    <row r="31" spans="1:27" x14ac:dyDescent="0.25">
      <c r="A31" s="4"/>
      <c r="B31" s="4"/>
      <c r="C31" s="8" t="s">
        <v>47</v>
      </c>
      <c r="D31" t="s">
        <v>23</v>
      </c>
      <c r="H31" s="9">
        <v>5</v>
      </c>
    </row>
    <row r="32" spans="1:27" x14ac:dyDescent="0.25">
      <c r="A32" s="4"/>
      <c r="B32" s="4" t="s">
        <v>43</v>
      </c>
      <c r="C32" s="11" t="s">
        <v>8</v>
      </c>
      <c r="D32" s="12"/>
      <c r="E32" s="12"/>
      <c r="F32" s="12"/>
      <c r="G32" s="12"/>
      <c r="H32" s="14" t="s">
        <v>44</v>
      </c>
    </row>
  </sheetData>
  <conditionalFormatting sqref="B32">
    <cfRule type="cellIs" dxfId="0" priority="1" operator="equal">
      <formula>"class"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Sedan_Hamba_f</vt:lpstr>
      <vt:lpstr>Sedan_Hamba_r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 Miller</dc:creator>
  <cp:lastModifiedBy>Steve Miller</cp:lastModifiedBy>
  <dcterms:created xsi:type="dcterms:W3CDTF">2019-11-06T16:53:36Z</dcterms:created>
  <dcterms:modified xsi:type="dcterms:W3CDTF">2026-02-09T14:00:06Z</dcterms:modified>
</cp:coreProperties>
</file>