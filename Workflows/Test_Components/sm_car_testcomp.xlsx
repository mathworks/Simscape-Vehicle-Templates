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Others\smiller\ssvt_srcR22a\Workflows\Test_Components\"/>
    </mc:Choice>
  </mc:AlternateContent>
  <xr:revisionPtr revIDLastSave="0" documentId="13_ncr:1_{DF97AECD-BB80-431F-A7D5-3D28E3B2D4C2}" xr6:coauthVersionLast="47" xr6:coauthVersionMax="47" xr10:uidLastSave="{00000000-0000-0000-0000-000000000000}"/>
  <bookViews>
    <workbookView xWindow="32400" yWindow="2460" windowWidth="21600" windowHeight="11295" activeTab="1" xr2:uid="{4C294FAB-DCED-45FC-8003-D95107E81914}"/>
  </bookViews>
  <sheets>
    <sheet name="Sheet1" sheetId="1" r:id="rId1"/>
    <sheet name="2022a_260116_203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</calcChain>
</file>

<file path=xl/sharedStrings.xml><?xml version="1.0" encoding="utf-8"?>
<sst xmlns="http://schemas.openxmlformats.org/spreadsheetml/2006/main" count="48" uniqueCount="35">
  <si>
    <t>Run</t>
  </si>
  <si>
    <t>Preset</t>
  </si>
  <si>
    <t>Body</t>
  </si>
  <si>
    <t>SuspF</t>
  </si>
  <si>
    <t>Tire</t>
  </si>
  <si>
    <t>TirDyn</t>
  </si>
  <si>
    <t>Drv</t>
  </si>
  <si>
    <t>Trail</t>
  </si>
  <si>
    <t>Mane</t>
  </si>
  <si>
    <t>Solv</t>
  </si>
  <si>
    <t># Steps</t>
  </si>
  <si>
    <t>Time</t>
  </si>
  <si>
    <t>xFinal</t>
  </si>
  <si>
    <t>yFinal</t>
  </si>
  <si>
    <t>Figure</t>
  </si>
  <si>
    <t>Pass</t>
  </si>
  <si>
    <t>DW</t>
  </si>
  <si>
    <t>DWA</t>
  </si>
  <si>
    <t>5LS2R</t>
  </si>
  <si>
    <t>5LS2RnoStr</t>
  </si>
  <si>
    <t>5LS2Fc</t>
  </si>
  <si>
    <t>S2LAF</t>
  </si>
  <si>
    <t>S2LAR</t>
  </si>
  <si>
    <t>S2LAF_AU</t>
  </si>
  <si>
    <t>S2LAF_AD</t>
  </si>
  <si>
    <t>S2LAR_AD</t>
  </si>
  <si>
    <t>S2LAR_AU</t>
  </si>
  <si>
    <t>DWPull</t>
  </si>
  <si>
    <t>DWPullnoStr</t>
  </si>
  <si>
    <t>DWPush</t>
  </si>
  <si>
    <t>DWPushnoStr</t>
  </si>
  <si>
    <t>16-Jan-2026 20:39:53</t>
  </si>
  <si>
    <t>MATHWORKS-OL1OH</t>
  </si>
  <si>
    <t>9.12.0.2529717 (R2022a) Update 8</t>
  </si>
  <si>
    <t>MF-Swift Version: 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</si>
</sst>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BC781-6377-4507-9397-AEC91042E1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45FA-7CE2-44EF-AE78-93200BAF20CD}">
  <dimension ref="A1:S10"/>
  <sheetViews>
    <sheetView tabSelected="1" workbookViewId="0">
      <selection activeCell="F4" sqref="F4"/>
    </sheetView>
  </sheetViews>
  <sheetFormatPr defaultRowHeight="15" x14ac:dyDescent="0.25"/>
  <cols>
    <col min="1" max="1" width="4.42578125" bestFit="1" customWidth="1"/>
    <col min="2" max="2" width="9.42578125" bestFit="1" customWidth="1"/>
    <col min="3" max="3" width="13.140625" bestFit="1" customWidth="1"/>
    <col min="4" max="4" width="6.28515625" bestFit="1" customWidth="1"/>
    <col min="5" max="5" width="10" bestFit="1" customWidth="1"/>
    <col min="6" max="6" width="6.5703125" bestFit="1" customWidth="1"/>
    <col min="7" max="7" width="5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2" t="s">
        <v>31</v>
      </c>
    </row>
    <row r="2" spans="1:19" x14ac:dyDescent="0.25">
      <c r="A2">
        <v>1</v>
      </c>
      <c r="B2" t="s">
        <v>16</v>
      </c>
      <c r="C2" t="s">
        <v>17</v>
      </c>
      <c r="D2">
        <v>88</v>
      </c>
      <c r="E2">
        <v>3.2991853</v>
      </c>
      <c r="F2" s="1" t="str">
        <f>HYPERLINK(".\sm_car_260116_2033\Test_001.png","figure")</f>
        <v>figure</v>
      </c>
      <c r="G2" t="s">
        <v>15</v>
      </c>
      <c r="S2" s="2" t="s">
        <v>32</v>
      </c>
    </row>
    <row r="3" spans="1:19" x14ac:dyDescent="0.25">
      <c r="A3">
        <v>2</v>
      </c>
      <c r="B3" t="s">
        <v>18</v>
      </c>
      <c r="C3" t="s">
        <v>19</v>
      </c>
      <c r="D3">
        <v>90</v>
      </c>
      <c r="E3">
        <v>5.1404734999999997</v>
      </c>
      <c r="F3" s="1" t="str">
        <f>HYPERLINK(".\sm_car_260116_2033\Test_002.png","figure")</f>
        <v>figure</v>
      </c>
      <c r="G3" t="s">
        <v>15</v>
      </c>
      <c r="S3" s="2" t="s">
        <v>33</v>
      </c>
    </row>
    <row r="4" spans="1:19" x14ac:dyDescent="0.25">
      <c r="A4">
        <v>3</v>
      </c>
      <c r="B4" t="s">
        <v>20</v>
      </c>
      <c r="C4" t="s">
        <v>19</v>
      </c>
      <c r="D4">
        <v>110</v>
      </c>
      <c r="E4">
        <v>2.2841999999999998</v>
      </c>
      <c r="F4" s="1" t="str">
        <f>HYPERLINK(".\sm_car_260116_2033\Test_003.png","figure")</f>
        <v>figure</v>
      </c>
      <c r="G4" t="s">
        <v>15</v>
      </c>
      <c r="S4" s="2" t="s">
        <v>34</v>
      </c>
    </row>
    <row r="5" spans="1:19" x14ac:dyDescent="0.25">
      <c r="A5">
        <v>4</v>
      </c>
      <c r="B5" t="s">
        <v>20</v>
      </c>
      <c r="C5" t="s">
        <v>19</v>
      </c>
      <c r="D5">
        <v>83</v>
      </c>
      <c r="E5">
        <v>3.2081746</v>
      </c>
      <c r="F5" s="1" t="str">
        <f>HYPERLINK(".\sm_car_260116_2033\Test_004.png","figure")</f>
        <v>figure</v>
      </c>
      <c r="G5" t="s">
        <v>15</v>
      </c>
    </row>
    <row r="6" spans="1:19" x14ac:dyDescent="0.25">
      <c r="A6">
        <v>5</v>
      </c>
      <c r="B6" t="s">
        <v>21</v>
      </c>
      <c r="C6" t="s">
        <v>22</v>
      </c>
      <c r="D6">
        <v>82</v>
      </c>
      <c r="E6">
        <v>2.3983431999999998</v>
      </c>
      <c r="F6" s="1" t="str">
        <f>HYPERLINK(".\sm_car_260116_2033\Test_005.png","figure")</f>
        <v>figure</v>
      </c>
      <c r="G6" t="s">
        <v>15</v>
      </c>
    </row>
    <row r="7" spans="1:19" x14ac:dyDescent="0.25">
      <c r="A7">
        <v>6</v>
      </c>
      <c r="B7" t="s">
        <v>23</v>
      </c>
      <c r="C7" t="s">
        <v>24</v>
      </c>
      <c r="D7">
        <v>87</v>
      </c>
      <c r="E7">
        <v>3.2566392999999998</v>
      </c>
      <c r="F7" s="1" t="str">
        <f>HYPERLINK(".\sm_car_260116_2033\Test_006.png","figure")</f>
        <v>figure</v>
      </c>
      <c r="G7" t="s">
        <v>15</v>
      </c>
    </row>
    <row r="8" spans="1:19" x14ac:dyDescent="0.25">
      <c r="A8">
        <v>7</v>
      </c>
      <c r="B8" t="s">
        <v>25</v>
      </c>
      <c r="C8" t="s">
        <v>26</v>
      </c>
      <c r="D8">
        <v>88</v>
      </c>
      <c r="E8">
        <v>5.6468395999999998</v>
      </c>
      <c r="F8" s="1" t="str">
        <f>HYPERLINK(".\sm_car_260116_2033\Test_007.png","figure")</f>
        <v>figure</v>
      </c>
      <c r="G8" t="s">
        <v>15</v>
      </c>
    </row>
    <row r="9" spans="1:19" x14ac:dyDescent="0.25">
      <c r="A9">
        <v>8</v>
      </c>
      <c r="B9" t="s">
        <v>27</v>
      </c>
      <c r="C9" t="s">
        <v>28</v>
      </c>
      <c r="D9">
        <v>139</v>
      </c>
      <c r="E9">
        <v>2.6843081999999998</v>
      </c>
      <c r="F9" s="1" t="str">
        <f>HYPERLINK(".\sm_car_260116_2033\Test_008.png","figure")</f>
        <v>figure</v>
      </c>
      <c r="G9" t="s">
        <v>15</v>
      </c>
    </row>
    <row r="10" spans="1:19" x14ac:dyDescent="0.25">
      <c r="A10">
        <v>9</v>
      </c>
      <c r="B10" t="s">
        <v>29</v>
      </c>
      <c r="C10" t="s">
        <v>30</v>
      </c>
      <c r="D10">
        <v>197</v>
      </c>
      <c r="E10">
        <v>4.6662711000000003</v>
      </c>
      <c r="F10" s="1" t="str">
        <f>HYPERLINK(".\sm_car_260116_2033\Test_009.png","figure")</f>
        <v>figure</v>
      </c>
      <c r="G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2022a_260116_2033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2026-01-16T19:39:18Z</dcterms:created>
  <dcterms:modified xsi:type="dcterms:W3CDTF">2026-01-16T19:44:54Z</dcterms:modified>
</cp:coreProperties>
</file>